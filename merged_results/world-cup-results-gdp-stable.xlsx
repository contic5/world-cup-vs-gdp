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J\Documents\Spectrum Works\Data Analysis\Data Analysis Demo\world-cup-vs-gdp\merged_results\"/>
    </mc:Choice>
  </mc:AlternateContent>
  <xr:revisionPtr revIDLastSave="0" documentId="13_ncr:1_{5C03C17E-9F53-4020-8721-FE9FD634D22B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Data" sheetId="1" r:id="rId1"/>
    <sheet name="Summary" sheetId="3" r:id="rId2"/>
    <sheet name="Sheet2" sheetId="2" r:id="rId3"/>
    <sheet name="Sheet4" sheetId="4" r:id="rId4"/>
    <sheet name="Sheet4 (2)" sheetId="6" r:id="rId5"/>
    <sheet name="Works Cited" sheetId="5" r:id="rId6"/>
  </sheets>
  <externalReferences>
    <externalReference r:id="rId7"/>
  </externalReferences>
  <calcPr calcId="191029"/>
  <pivotCaches>
    <pivotCache cacheId="20" r:id="rId8"/>
    <pivotCache cacheId="1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4" i="1" l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F10" i="3"/>
  <c r="F11" i="3"/>
  <c r="F12" i="3"/>
  <c r="F13" i="3"/>
  <c r="F15" i="3"/>
  <c r="E11" i="3"/>
  <c r="D10" i="3"/>
  <c r="D12" i="3"/>
  <c r="C2" i="3"/>
  <c r="F2" i="3" s="1"/>
  <c r="C3" i="3"/>
  <c r="F3" i="3" s="1"/>
  <c r="C4" i="3"/>
  <c r="D4" i="3" s="1"/>
  <c r="C5" i="3"/>
  <c r="D5" i="3" s="1"/>
  <c r="C6" i="3"/>
  <c r="D6" i="3" s="1"/>
  <c r="C7" i="3"/>
  <c r="F7" i="3" s="1"/>
  <c r="C8" i="3"/>
  <c r="D8" i="3" s="1"/>
  <c r="C9" i="3"/>
  <c r="E9" i="3" s="1"/>
  <c r="C10" i="3"/>
  <c r="E10" i="3" s="1"/>
  <c r="C11" i="3"/>
  <c r="D11" i="3" s="1"/>
  <c r="C12" i="3"/>
  <c r="E12" i="3" s="1"/>
  <c r="C13" i="3"/>
  <c r="D13" i="3" s="1"/>
  <c r="C14" i="3"/>
  <c r="E14" i="3" s="1"/>
  <c r="C15" i="3"/>
  <c r="E15" i="3" s="1"/>
  <c r="C16" i="3"/>
  <c r="F16" i="3" s="1"/>
  <c r="C17" i="3"/>
  <c r="E17" i="3" s="1"/>
  <c r="E13" i="3" l="1"/>
  <c r="F14" i="3"/>
  <c r="D9" i="3"/>
  <c r="E6" i="3"/>
  <c r="E4" i="3"/>
  <c r="D7" i="3"/>
  <c r="E8" i="3"/>
  <c r="E7" i="3"/>
  <c r="F9" i="3"/>
  <c r="F8" i="3"/>
  <c r="D3" i="3"/>
  <c r="F6" i="3"/>
  <c r="D15" i="3"/>
  <c r="E3" i="3"/>
  <c r="F5" i="3"/>
  <c r="D14" i="3"/>
  <c r="E16" i="3"/>
  <c r="E2" i="3"/>
  <c r="F4" i="3"/>
  <c r="E5" i="3"/>
  <c r="D2" i="3"/>
  <c r="F17" i="3"/>
  <c r="D17" i="3"/>
  <c r="D16" i="3"/>
</calcChain>
</file>

<file path=xl/sharedStrings.xml><?xml version="1.0" encoding="utf-8"?>
<sst xmlns="http://schemas.openxmlformats.org/spreadsheetml/2006/main" count="3102" uniqueCount="235">
  <si>
    <t>date</t>
  </si>
  <si>
    <t>home_team</t>
  </si>
  <si>
    <t>away_team</t>
  </si>
  <si>
    <t>home_score</t>
  </si>
  <si>
    <t>away_score</t>
  </si>
  <si>
    <t>tournament</t>
  </si>
  <si>
    <t>city</t>
  </si>
  <si>
    <t>country</t>
  </si>
  <si>
    <t>neutral</t>
  </si>
  <si>
    <t>year</t>
  </si>
  <si>
    <t>Home_GDP</t>
  </si>
  <si>
    <t>Away_GDP</t>
  </si>
  <si>
    <t>Wealthier_Winner</t>
  </si>
  <si>
    <t>Brazil</t>
  </si>
  <si>
    <t>Chile</t>
  </si>
  <si>
    <t>Colombia</t>
  </si>
  <si>
    <t>Germany</t>
  </si>
  <si>
    <t>Mexico</t>
  </si>
  <si>
    <t>Italy</t>
  </si>
  <si>
    <t>Argentina</t>
  </si>
  <si>
    <t>France</t>
  </si>
  <si>
    <t>Spain</t>
  </si>
  <si>
    <t>Israel</t>
  </si>
  <si>
    <t>Belgium</t>
  </si>
  <si>
    <t>Morocco</t>
  </si>
  <si>
    <t>Sweden</t>
  </si>
  <si>
    <t>Uruguay</t>
  </si>
  <si>
    <t>Netherlands</t>
  </si>
  <si>
    <t>Australia</t>
  </si>
  <si>
    <t>Austria</t>
  </si>
  <si>
    <t>Hungary</t>
  </si>
  <si>
    <t>Peru</t>
  </si>
  <si>
    <t>Algeria</t>
  </si>
  <si>
    <t>Bulgaria</t>
  </si>
  <si>
    <t>Canada</t>
  </si>
  <si>
    <t>Paraguay</t>
  </si>
  <si>
    <t>Denmark</t>
  </si>
  <si>
    <t>Iraq</t>
  </si>
  <si>
    <t>Portugal</t>
  </si>
  <si>
    <t>United Arab Emirates</t>
  </si>
  <si>
    <t>Cameroon</t>
  </si>
  <si>
    <t>United States</t>
  </si>
  <si>
    <t>Norway</t>
  </si>
  <si>
    <t>Nigeria</t>
  </si>
  <si>
    <t>Romania</t>
  </si>
  <si>
    <t>Saudi Arabia</t>
  </si>
  <si>
    <t>Switzerland</t>
  </si>
  <si>
    <t>Bolivia</t>
  </si>
  <si>
    <t>Greece</t>
  </si>
  <si>
    <t>Jamaica</t>
  </si>
  <si>
    <t>South Africa</t>
  </si>
  <si>
    <t>Japan</t>
  </si>
  <si>
    <t>Croatia</t>
  </si>
  <si>
    <t>Tunisia</t>
  </si>
  <si>
    <t>Senegal</t>
  </si>
  <si>
    <t>Slovenia</t>
  </si>
  <si>
    <t>Costa Rica</t>
  </si>
  <si>
    <t>Ecuador</t>
  </si>
  <si>
    <t>Poland</t>
  </si>
  <si>
    <t>Trinidad and Tobago</t>
  </si>
  <si>
    <t>Angola</t>
  </si>
  <si>
    <t>Serbia</t>
  </si>
  <si>
    <t>Togo</t>
  </si>
  <si>
    <t>Ghana</t>
  </si>
  <si>
    <t>Ukraine</t>
  </si>
  <si>
    <t>Honduras</t>
  </si>
  <si>
    <t>Iceland</t>
  </si>
  <si>
    <t>Panama</t>
  </si>
  <si>
    <t>Qatar</t>
  </si>
  <si>
    <t>El Salvador</t>
  </si>
  <si>
    <t>Haiti</t>
  </si>
  <si>
    <t>Kuwait</t>
  </si>
  <si>
    <t>New Zealand</t>
  </si>
  <si>
    <t>Bosnia and Herzegovina</t>
  </si>
  <si>
    <t>FIFA World Cup</t>
  </si>
  <si>
    <t>ViÃ±a del Mar</t>
  </si>
  <si>
    <t>Santiago</t>
  </si>
  <si>
    <t>Arica</t>
  </si>
  <si>
    <t>Sheffield</t>
  </si>
  <si>
    <t>Birmingham</t>
  </si>
  <si>
    <t>Sunderland</t>
  </si>
  <si>
    <t>London</t>
  </si>
  <si>
    <t>Liverpool</t>
  </si>
  <si>
    <t>Puebla</t>
  </si>
  <si>
    <t>Mexico City</t>
  </si>
  <si>
    <t>LeÃ³n</t>
  </si>
  <si>
    <t>Toluca</t>
  </si>
  <si>
    <t>Guadalajara</t>
  </si>
  <si>
    <t>Berlin</t>
  </si>
  <si>
    <t>Munich</t>
  </si>
  <si>
    <t>Hanover</t>
  </si>
  <si>
    <t>Hamburg</t>
  </si>
  <si>
    <t>Stuttgart</t>
  </si>
  <si>
    <t>Dortmund</t>
  </si>
  <si>
    <t>DÃ¼sseldorf</t>
  </si>
  <si>
    <t>Gelsenkirchen</t>
  </si>
  <si>
    <t>Buenos Aires</t>
  </si>
  <si>
    <t>Mar del Plata</t>
  </si>
  <si>
    <t>Rosario</t>
  </si>
  <si>
    <t>CÃ³rdoba</t>
  </si>
  <si>
    <t>Mendoza</t>
  </si>
  <si>
    <t>Barcelona</t>
  </si>
  <si>
    <t>Elche</t>
  </si>
  <si>
    <t>La CoruÃ±a</t>
  </si>
  <si>
    <t>GijÃ³n</t>
  </si>
  <si>
    <t>Valencia</t>
  </si>
  <si>
    <t>Oviedo</t>
  </si>
  <si>
    <t>Alicante</t>
  </si>
  <si>
    <t>Vigo</t>
  </si>
  <si>
    <t>Valladolid</t>
  </si>
  <si>
    <t>Seville</t>
  </si>
  <si>
    <t>Madrid</t>
  </si>
  <si>
    <t>QuerÃ©taro</t>
  </si>
  <si>
    <t>Irapuato</t>
  </si>
  <si>
    <t>NezahualcÃ³yotl</t>
  </si>
  <si>
    <t>Monterrey</t>
  </si>
  <si>
    <t>Milan</t>
  </si>
  <si>
    <t>Rome</t>
  </si>
  <si>
    <t>Bologna</t>
  </si>
  <si>
    <t>Turin</t>
  </si>
  <si>
    <t>Udine</t>
  </si>
  <si>
    <t>Bari</t>
  </si>
  <si>
    <t>Verona</t>
  </si>
  <si>
    <t>Naples</t>
  </si>
  <si>
    <t>Florence</t>
  </si>
  <si>
    <t>Genoa</t>
  </si>
  <si>
    <t>Chicago</t>
  </si>
  <si>
    <t>Pasadena</t>
  </si>
  <si>
    <t>Pontiac</t>
  </si>
  <si>
    <t>Orlando</t>
  </si>
  <si>
    <t>Washington, D.C.</t>
  </si>
  <si>
    <t>Foxborough</t>
  </si>
  <si>
    <t>Dallas</t>
  </si>
  <si>
    <t>East Rutherford</t>
  </si>
  <si>
    <t>Palo Alto</t>
  </si>
  <si>
    <t>Montpellier</t>
  </si>
  <si>
    <t>Toulouse</t>
  </si>
  <si>
    <t>Bordeaux</t>
  </si>
  <si>
    <t>Marseille</t>
  </si>
  <si>
    <t>Lens</t>
  </si>
  <si>
    <t>Saint-Denis</t>
  </si>
  <si>
    <t>Nantes</t>
  </si>
  <si>
    <t>Paris</t>
  </si>
  <si>
    <t>Lyon</t>
  </si>
  <si>
    <t>Saint-Ã‰tienne</t>
  </si>
  <si>
    <t>Seoul</t>
  </si>
  <si>
    <t>Sapporo</t>
  </si>
  <si>
    <t>Ulsan</t>
  </si>
  <si>
    <t>Kashima</t>
  </si>
  <si>
    <t>Busan</t>
  </si>
  <si>
    <t>Gwangju</t>
  </si>
  <si>
    <t>Niigata</t>
  </si>
  <si>
    <t>Saitama</t>
  </si>
  <si>
    <t>Suwon</t>
  </si>
  <si>
    <t>Daegu</t>
  </si>
  <si>
    <t>Jeonju</t>
  </si>
  <si>
    <t>Kobe</t>
  </si>
  <si>
    <t>Rifu</t>
  </si>
  <si>
    <t>ÅŒita</t>
  </si>
  <si>
    <t>Fukuroi</t>
  </si>
  <si>
    <t>Incheon</t>
  </si>
  <si>
    <t>Seogwipo</t>
  </si>
  <si>
    <t>Daejeon</t>
  </si>
  <si>
    <t>Yokohama</t>
  </si>
  <si>
    <t>Osaka</t>
  </si>
  <si>
    <t>Cologne</t>
  </si>
  <si>
    <t>Leipzig</t>
  </si>
  <si>
    <t>Kaiserslautern</t>
  </si>
  <si>
    <t>Nuremberg</t>
  </si>
  <si>
    <t>Frankfurt am Main</t>
  </si>
  <si>
    <t>Johannesburg</t>
  </si>
  <si>
    <t>Cape Town</t>
  </si>
  <si>
    <t>Polokwane</t>
  </si>
  <si>
    <t>Durban</t>
  </si>
  <si>
    <t>Pretoria</t>
  </si>
  <si>
    <t>Bloemfontein</t>
  </si>
  <si>
    <t>Nelspruit</t>
  </si>
  <si>
    <t>Port Elizabeth</t>
  </si>
  <si>
    <t>Rustenburg</t>
  </si>
  <si>
    <t>SÃ£o Paulo</t>
  </si>
  <si>
    <t>CuiabÃ¡</t>
  </si>
  <si>
    <t>Natal</t>
  </si>
  <si>
    <t>Salvador</t>
  </si>
  <si>
    <t>Belo Horizonte</t>
  </si>
  <si>
    <t>Fortaleza</t>
  </si>
  <si>
    <t>Rio de Janeiro</t>
  </si>
  <si>
    <t>Porto Alegre</t>
  </si>
  <si>
    <t>BrasÃ­lia</t>
  </si>
  <si>
    <t>Curitiba</t>
  </si>
  <si>
    <t>Manaus</t>
  </si>
  <si>
    <t>Recife</t>
  </si>
  <si>
    <t>Sochi</t>
  </si>
  <si>
    <t>Kazan</t>
  </si>
  <si>
    <t>Moscow</t>
  </si>
  <si>
    <t>Saransk</t>
  </si>
  <si>
    <t>Kaliningrad</t>
  </si>
  <si>
    <t>Samara</t>
  </si>
  <si>
    <t>Rostov-on-Don</t>
  </si>
  <si>
    <t>Ekaterinburg</t>
  </si>
  <si>
    <t>Nizhny Novgorod</t>
  </si>
  <si>
    <t>Saint Petersburg</t>
  </si>
  <si>
    <t>Volgograd</t>
  </si>
  <si>
    <t>Al Khor</t>
  </si>
  <si>
    <t>Doha</t>
  </si>
  <si>
    <t>Lusail</t>
  </si>
  <si>
    <t>Al Rayyan</t>
  </si>
  <si>
    <t>Al Wakrah</t>
  </si>
  <si>
    <t>England</t>
  </si>
  <si>
    <t>South Korea</t>
  </si>
  <si>
    <t>Russia</t>
  </si>
  <si>
    <t>ID</t>
  </si>
  <si>
    <t>Average of Wealthier_Winner</t>
  </si>
  <si>
    <t>Row Labels</t>
  </si>
  <si>
    <t>Grand Total</t>
  </si>
  <si>
    <t>decade</t>
  </si>
  <si>
    <t>Year</t>
  </si>
  <si>
    <t>Count</t>
  </si>
  <si>
    <t>Wealthier_Win_Percent</t>
  </si>
  <si>
    <t>Wealthier_Tie_Percent</t>
  </si>
  <si>
    <t>Wealthier_Lose_Percent</t>
  </si>
  <si>
    <t>https://data.worldbank.org/indicator/NY.GDP.MKTP.CD</t>
  </si>
  <si>
    <t>https://www.kaggle.com/datasets/martj42/international-football-results-from-1872-to-2017?select=results.csv</t>
  </si>
  <si>
    <t>Decade</t>
  </si>
  <si>
    <t>Average of Wealthier_Win_Percent</t>
  </si>
  <si>
    <t>Rancagua</t>
  </si>
  <si>
    <t>Iran</t>
  </si>
  <si>
    <t>Bilbao</t>
  </si>
  <si>
    <t>Czechia</t>
  </si>
  <si>
    <t>Egypt</t>
  </si>
  <si>
    <t>Palermo</t>
  </si>
  <si>
    <t>Cagliari</t>
  </si>
  <si>
    <t>China</t>
  </si>
  <si>
    <t>Average of Wealthier_Lose_Percent</t>
  </si>
  <si>
    <t>(All)</t>
  </si>
  <si>
    <t>Average of Wealthier_Tie_Percent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</si>
</sst>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2" fontId="0" fillId="0" borderId="0" xfId="0" applyNumberFormat="1" applyAlignment="1">
      <alignment horizontal="left"/>
    </xf>
    <xf numFmtId="9" fontId="0" fillId="0" borderId="0" xfId="1" applyFont="1"/>
    <xf numFmtId="0" fontId="0" fillId="0" borderId="0" xfId="0" applyAlignment="1">
      <alignment horizontal="left"/>
    </xf>
    <xf numFmtId="9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6">
    <dxf>
      <numFmt numFmtId="164" formatCode="yyyy\-mm\-dd\ hh:mm:ss"/>
    </dxf>
    <dxf>
      <numFmt numFmtId="164" formatCode="yyyy\-mm\-dd\ hh:mm:ss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[world-cup-results-gdp-stable.xlsx]Sheet2!PivotTable1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Sheet2!$A$4:$A$11</c:f>
              <c:strCache>
                <c:ptCount val="7"/>
                <c:pt idx="0">
                  <c:v>1960.00</c:v>
                </c:pt>
                <c:pt idx="1">
                  <c:v>1970.00</c:v>
                </c:pt>
                <c:pt idx="2">
                  <c:v>1980.00</c:v>
                </c:pt>
                <c:pt idx="3">
                  <c:v>1990.00</c:v>
                </c:pt>
                <c:pt idx="4">
                  <c:v>2000.00</c:v>
                </c:pt>
                <c:pt idx="5">
                  <c:v>2010.00</c:v>
                </c:pt>
                <c:pt idx="6">
                  <c:v>2020.00</c:v>
                </c:pt>
              </c:strCache>
            </c:strRef>
          </c:cat>
          <c:val>
            <c:numRef>
              <c:f>Sheet2!$B$4:$B$11</c:f>
              <c:numCache>
                <c:formatCode>General</c:formatCode>
                <c:ptCount val="7"/>
                <c:pt idx="0">
                  <c:v>0.25806451612903225</c:v>
                </c:pt>
                <c:pt idx="1">
                  <c:v>0.31746031746031744</c:v>
                </c:pt>
                <c:pt idx="2">
                  <c:v>0.390625</c:v>
                </c:pt>
                <c:pt idx="3">
                  <c:v>0.18796992481203006</c:v>
                </c:pt>
                <c:pt idx="4">
                  <c:v>0.25490196078431371</c:v>
                </c:pt>
                <c:pt idx="5">
                  <c:v>0.13496932515337423</c:v>
                </c:pt>
                <c:pt idx="6">
                  <c:v>7.0175438596491224E-2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5D-4587-B36D-55216A3C7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2722639"/>
        <c:axId val="1452710639"/>
      </c:lineChart>
      <c:catAx>
        <c:axId val="1452722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710639"/>
        <c:crosses val="autoZero"/>
        <c:auto val="1"/>
        <c:lblAlgn val="ctr"/>
        <c:lblOffset val="100"/>
        <c:noMultiLvlLbl val="0"/>
      </c:catAx>
      <c:valAx>
        <c:axId val="14527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722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[world-cup-results-gdp-stable.xlsx]Sheet4!PivotTable2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Average of Wealthier_Win_Percent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Sheet4!$B$4:$B$11</c:f>
              <c:numCache>
                <c:formatCode>0%</c:formatCode>
                <c:ptCount val="7"/>
                <c:pt idx="0">
                  <c:v>0.55769230769230771</c:v>
                </c:pt>
                <c:pt idx="1">
                  <c:v>0.59269293924466337</c:v>
                </c:pt>
                <c:pt idx="2">
                  <c:v>0.56748768472906397</c:v>
                </c:pt>
                <c:pt idx="3">
                  <c:v>0.47989749713887636</c:v>
                </c:pt>
                <c:pt idx="4">
                  <c:v>0.50587774294670851</c:v>
                </c:pt>
                <c:pt idx="5">
                  <c:v>0.45985060690943041</c:v>
                </c:pt>
                <c:pt idx="6">
                  <c:v>0.42105263157894735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BAE-44CF-9B62-E10FBA16F2FD}"/>
            </c:ext>
          </c:extLst>
        </c:ser>
        <c:ser>
          <c:idx val="1"/>
          <c:order val="1"/>
          <c:tx>
            <c:strRef>
              <c:f>Sheet4!$C$3</c:f>
              <c:strCache>
                <c:ptCount val="1"/>
                <c:pt idx="0">
                  <c:v>Average of Wealthier_Lose_Percent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Sheet4!$C$4:$C$11</c:f>
              <c:numCache>
                <c:formatCode>0%</c:formatCode>
                <c:ptCount val="7"/>
                <c:pt idx="0">
                  <c:v>0.29273504273504275</c:v>
                </c:pt>
                <c:pt idx="1">
                  <c:v>0.20541871921182267</c:v>
                </c:pt>
                <c:pt idx="2">
                  <c:v>0.16600985221674877</c:v>
                </c:pt>
                <c:pt idx="3">
                  <c:v>0.28820221923670203</c:v>
                </c:pt>
                <c:pt idx="4">
                  <c:v>0.25979623824451414</c:v>
                </c:pt>
                <c:pt idx="5">
                  <c:v>0.32422969187675071</c:v>
                </c:pt>
                <c:pt idx="6">
                  <c:v>0.35087719298245612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BAE-44CF-9B62-E10FBA16F2F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37220623"/>
        <c:axId val="1337221583"/>
      </c:lineChart>
      <c:catAx>
        <c:axId val="1337220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1583"/>
        <c:crosses val="autoZero"/>
        <c:auto val="1"/>
        <c:lblAlgn val="ctr"/>
        <c:lblOffset val="100"/>
        <c:noMultiLvlLbl val="0"/>
      </c:catAx>
      <c:valAx>
        <c:axId val="13372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0623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[world-cup-results-gdp-stable.xlsx]Sheet4 (2)!PivotTable2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C00000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92D050"/>
          </a:soli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'Sheet4 (2)'!$B$3</c:f>
              <c:strCache>
                <c:ptCount val="1"/>
                <c:pt idx="0">
                  <c:v>Average of Wealthier_Win_Percent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'Sheet4 (2)'!$A$4:$A$11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'Sheet4 (2)'!$B$4:$B$11</c:f>
              <c:numCache>
                <c:formatCode>0%</c:formatCode>
                <c:ptCount val="7"/>
                <c:pt idx="0">
                  <c:v>0.55769230769230771</c:v>
                </c:pt>
                <c:pt idx="1">
                  <c:v>0.59269293924466337</c:v>
                </c:pt>
                <c:pt idx="2">
                  <c:v>0.56748768472906397</c:v>
                </c:pt>
                <c:pt idx="3">
                  <c:v>0.47989749713887636</c:v>
                </c:pt>
                <c:pt idx="4">
                  <c:v>0.50587774294670851</c:v>
                </c:pt>
                <c:pt idx="5">
                  <c:v>0.45985060690943041</c:v>
                </c:pt>
                <c:pt idx="6">
                  <c:v>0.42105263157894735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2-4D02-AD12-4187E05FCE2C}"/>
            </c:ext>
          </c:extLst>
        </c:ser>
        <c:ser>
          <c:idx val="1"/>
          <c:order val="1"/>
          <c:tx>
            <c:strRef>
              <c:f>'Sheet4 (2)'!$C$3</c:f>
              <c:strCache>
                <c:ptCount val="1"/>
                <c:pt idx="0">
                  <c:v>Average of Wealthier_Tie_Percent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'Sheet4 (2)'!$A$4:$A$11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'Sheet4 (2)'!$C$4:$C$11</c:f>
              <c:numCache>
                <c:formatCode>0%</c:formatCode>
                <c:ptCount val="7"/>
                <c:pt idx="0">
                  <c:v>0.14957264957264957</c:v>
                </c:pt>
                <c:pt idx="1">
                  <c:v>0.20188834154351396</c:v>
                </c:pt>
                <c:pt idx="2">
                  <c:v>0.26650246305418718</c:v>
                </c:pt>
                <c:pt idx="3">
                  <c:v>0.23190028362442158</c:v>
                </c:pt>
                <c:pt idx="4">
                  <c:v>0.23432601880877743</c:v>
                </c:pt>
                <c:pt idx="5">
                  <c:v>0.21591970121381884</c:v>
                </c:pt>
                <c:pt idx="6">
                  <c:v>0.22807017543859648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02-4D02-AD12-4187E05FCE2C}"/>
            </c:ext>
          </c:extLst>
        </c:ser>
        <c:ser>
          <c:idx val="2"/>
          <c:order val="2"/>
          <c:tx>
            <c:strRef>
              <c:f>'Sheet4 (2)'!$D$3</c:f>
              <c:strCache>
                <c:ptCount val="1"/>
                <c:pt idx="0">
                  <c:v>Average of Wealthier_Lose_Percent</c:v>
                </c:pt>
              </c:strCache>
            </c:strRef>
          </c:tx>
          <c:spPr>
            <a:solidFill>
              <a:srgbClr val="C00000"/>
            </a:solidFill>
            <a:ln w="28575" cap="rnd">
              <a:solidFill>
                <a:schemeClr val="accent2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'Sheet4 (2)'!$A$4:$A$11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'Sheet4 (2)'!$D$4:$D$11</c:f>
              <c:numCache>
                <c:formatCode>0%</c:formatCode>
                <c:ptCount val="7"/>
                <c:pt idx="0">
                  <c:v>0.29273504273504275</c:v>
                </c:pt>
                <c:pt idx="1">
                  <c:v>0.20541871921182267</c:v>
                </c:pt>
                <c:pt idx="2">
                  <c:v>0.16600985221674877</c:v>
                </c:pt>
                <c:pt idx="3">
                  <c:v>0.28820221923670203</c:v>
                </c:pt>
                <c:pt idx="4">
                  <c:v>0.25979623824451414</c:v>
                </c:pt>
                <c:pt idx="5">
                  <c:v>0.32422969187675071</c:v>
                </c:pt>
                <c:pt idx="6">
                  <c:v>0.35087719298245612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02-4D02-AD12-4187E05FCE2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37220623"/>
        <c:axId val="1337221583"/>
      </c:barChart>
      <c:catAx>
        <c:axId val="1337220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1583"/>
        <c:crosses val="autoZero"/>
        <c:auto val="1"/>
        <c:lblAlgn val="ctr"/>
        <c:lblOffset val="100"/>
        <c:noMultiLvlLbl val="0"/>
      </c:catAx>
      <c:valAx>
        <c:axId val="133722158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0623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A6D857-3980-96C7-9C7E-A02A349EB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586740</xdr:colOff>
      <xdr:row>4</xdr:row>
      <xdr:rowOff>125730</xdr:rowOff>
    </xdr:from>
    <xdr:to>
      <xdr:col>14</xdr:col>
      <xdr:colOff>0</xdr:colOff>
      <xdr:row>19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C5FD2E-61AA-8B8E-2D37-409C2E423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15</xdr:row>
      <xdr:rowOff>11430</xdr:rowOff>
    </xdr:from>
    <xdr:to>
      <xdr:col>3</xdr:col>
      <xdr:colOff>1272540</xdr:colOff>
      <xdr:row>32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C2F0F9-7BFB-47FE-BCF3-CC1989069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J\Documents\Spectrum%20Works\Data%20Analysis\Data%20Analysis%20Demo\world-cup-vs-gdp\merged_results\world-cup-results-gdp.xlsx" TargetMode="External"/><Relationship Id="rId1" Type="http://schemas.openxmlformats.org/officeDocument/2006/relationships/externalLinkPath" Target="world-cup-results-gd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6178.605590509258" createdVersion="8" refreshedVersion="8" minRefreshableVersion="3" recordCount="16" xr:uid="{4C94A00D-D6FA-4763-8137-5C5307072015}">
  <cacheSource type="worksheet">
    <worksheetSource name="Table2"/>
  </cacheSource>
  <cacheFields count="6">
    <cacheField name="Year" numFmtId="0">
      <sharedItems containsSemiMixedTypes="0" containsString="0" containsNumber="1" containsInteger="1" minValue="1962" maxValue="2022" count="16">
        <n v="1962"/>
        <n v="1966"/>
        <n v="1970"/>
        <n v="1974"/>
        <n v="1978"/>
        <n v="1982"/>
        <n v="1986"/>
        <n v="1990"/>
        <n v="1994"/>
        <n v="1998"/>
        <n v="2002"/>
        <n v="2006"/>
        <n v="2010"/>
        <n v="2014"/>
        <n v="2018"/>
        <n v="2022"/>
      </sharedItems>
    </cacheField>
    <cacheField name="Decade" numFmtId="0">
      <sharedItems containsSemiMixedTypes="0" containsString="0" containsNumber="1" containsInteger="1" minValue="1960" maxValue="2020" count="7">
        <n v="1960"/>
        <n v="1970"/>
        <n v="1980"/>
        <n v="1990"/>
        <n v="2000"/>
        <n v="2010"/>
        <n v="2020"/>
      </sharedItems>
    </cacheField>
    <cacheField name="Count" numFmtId="0">
      <sharedItems containsSemiMixedTypes="0" containsString="0" containsNumber="1" containsInteger="1" minValue="13" maxValue="58"/>
    </cacheField>
    <cacheField name="Wealthier_Win_Percent" numFmtId="9">
      <sharedItems containsSemiMixedTypes="0" containsString="0" containsNumber="1" minValue="0.41379310344827586" maxValue="0.7142857142857143"/>
    </cacheField>
    <cacheField name="Wealthier_Tie_Percent" numFmtId="9">
      <sharedItems containsSemiMixedTypes="0" containsString="0" containsNumber="1" minValue="7.6923076923076927E-2" maxValue="0.29310344827586204"/>
    </cacheField>
    <cacheField name="Wealthier_Lose_Percent" numFmtId="9">
      <sharedItems containsSemiMixedTypes="0" containsString="0" containsNumber="1" minValue="7.1428571428571425E-2" maxValue="0.350877192982456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6178.607082060182" createdVersion="8" refreshedVersion="8" minRefreshableVersion="3" recordCount="613" xr:uid="{19139145-F4B7-4370-B3C6-70E5ABAE0909}">
  <cacheSource type="worksheet">
    <worksheetSource name="Table1"/>
  </cacheSource>
  <cacheFields count="15">
    <cacheField name="ID" numFmtId="0">
      <sharedItems containsSemiMixedTypes="0" containsString="0" containsNumber="1" containsInteger="1" minValue="137" maxValue="963"/>
    </cacheField>
    <cacheField name="date" numFmtId="164">
      <sharedItems containsSemiMixedTypes="0" containsNonDate="0" containsDate="1" containsString="0" minDate="1962-05-30T00:00:00" maxDate="2022-12-19T00:00:00"/>
    </cacheField>
    <cacheField name="decade" numFmtId="164">
      <sharedItems containsSemiMixedTypes="0" containsNonDate="0" containsDate="1" containsString="0" minDate="1905-05-13T00:00:00" maxDate="1905-07-13T00:00:00" count="7">
        <d v="1905-05-13T00:00:00"/>
        <d v="1905-05-23T00:00:00"/>
        <d v="1905-06-02T00:00:00"/>
        <d v="1905-06-12T00:00:00"/>
        <d v="1905-06-22T00:00:00"/>
        <d v="1905-07-02T00:00:00"/>
        <d v="1905-07-12T00:00:00"/>
      </sharedItems>
    </cacheField>
    <cacheField name="home_team" numFmtId="0">
      <sharedItems count="62">
        <s v="Brazil"/>
        <s v="Chile"/>
        <s v="Colombia"/>
        <s v="Germany"/>
        <s v="Argentina"/>
        <s v="Mexico"/>
        <s v="Italy"/>
        <s v="England"/>
        <s v="France"/>
        <s v="Spain"/>
        <s v="Israel"/>
        <s v="Belgium"/>
        <s v="Morocco"/>
        <s v="Sweden"/>
        <s v="Uruguay"/>
        <s v="Netherlands"/>
        <s v="Australia"/>
        <s v="Austria"/>
        <s v="Iran"/>
        <s v="Hungary"/>
        <s v="Peru"/>
        <s v="Algeria"/>
        <s v="Bulgaria"/>
        <s v="Canada"/>
        <s v="Portugal"/>
        <s v="Paraguay"/>
        <s v="Denmark"/>
        <s v="Iraq"/>
        <s v="United Arab Emirates"/>
        <s v="United States"/>
        <s v="Cameroon"/>
        <s v="Czechia"/>
        <s v="Norway"/>
        <s v="Nigeria"/>
        <s v="Romania"/>
        <s v="Saudi Arabia"/>
        <s v="Switzerland"/>
        <s v="Bolivia"/>
        <s v="Greece"/>
        <s v="Jamaica"/>
        <s v="Serbia"/>
        <s v="South Africa"/>
        <s v="Japan"/>
        <s v="Croatia"/>
        <s v="China"/>
        <s v="Tunisia"/>
        <s v="Senegal"/>
        <s v="Slovenia"/>
        <s v="Costa Rica"/>
        <s v="Ecuador"/>
        <s v="Poland"/>
        <s v="Trinidad and Tobago"/>
        <s v="Angola"/>
        <s v="Togo"/>
        <s v="Ghana"/>
        <s v="Ukraine"/>
        <s v="Honduras"/>
        <s v="Bosnia and Herzegovina"/>
        <s v="Egypt"/>
        <s v="Iceland"/>
        <s v="Panama"/>
        <s v="Qatar"/>
      </sharedItems>
    </cacheField>
    <cacheField name="away_team" numFmtId="0">
      <sharedItems/>
    </cacheField>
    <cacheField name="home_score" numFmtId="0">
      <sharedItems containsSemiMixedTypes="0" containsString="0" containsNumber="1" containsInteger="1" minValue="0" maxValue="10"/>
    </cacheField>
    <cacheField name="away_score" numFmtId="0">
      <sharedItems containsSemiMixedTypes="0" containsString="0" containsNumber="1" containsInteger="1" minValue="0" maxValue="7"/>
    </cacheField>
    <cacheField name="tournament" numFmtId="0">
      <sharedItems/>
    </cacheField>
    <cacheField name="city" numFmtId="0">
      <sharedItems/>
    </cacheField>
    <cacheField name="country" numFmtId="0">
      <sharedItems/>
    </cacheField>
    <cacheField name="neutral" numFmtId="0">
      <sharedItems/>
    </cacheField>
    <cacheField name="year" numFmtId="0">
      <sharedItems containsSemiMixedTypes="0" containsString="0" containsNumber="1" containsInteger="1" minValue="1962" maxValue="2022"/>
    </cacheField>
    <cacheField name="Home_GDP" numFmtId="0">
      <sharedItems containsSemiMixedTypes="0" containsString="0" containsNumber="1" minValue="3320907721.74508" maxValue="17550680174000"/>
    </cacheField>
    <cacheField name="Away_GDP" numFmtId="0">
      <sharedItems containsSemiMixedTypes="0" containsString="0" containsNumber="1" minValue="565399321.52081394" maxValue="25604848907611"/>
    </cacheField>
    <cacheField name="Wealthier_Winner" numFmtId="0">
      <sharedItems containsSemiMixedTypes="0" containsString="0" containsNumber="1" containsInteger="1" minValue="-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x v="0"/>
    <n v="13"/>
    <n v="0.61538461538461542"/>
    <n v="7.6923076923076927E-2"/>
    <n v="0.30769230769230771"/>
  </r>
  <r>
    <x v="1"/>
    <x v="0"/>
    <n v="18"/>
    <n v="0.5"/>
    <n v="0.22222222222222221"/>
    <n v="0.27777777777777779"/>
  </r>
  <r>
    <x v="2"/>
    <x v="1"/>
    <n v="20"/>
    <n v="0.65"/>
    <n v="0.15"/>
    <n v="0.2"/>
  </r>
  <r>
    <x v="3"/>
    <x v="1"/>
    <n v="14"/>
    <n v="0.7142857142857143"/>
    <n v="0.21428571428571427"/>
    <n v="7.1428571428571425E-2"/>
  </r>
  <r>
    <x v="4"/>
    <x v="1"/>
    <n v="29"/>
    <n v="0.41379310344827586"/>
    <n v="0.2413793103448276"/>
    <n v="0.34482758620689657"/>
  </r>
  <r>
    <x v="5"/>
    <x v="2"/>
    <n v="29"/>
    <n v="0.62068965517241381"/>
    <n v="0.27586206896551724"/>
    <n v="0.10344827586206896"/>
  </r>
  <r>
    <x v="6"/>
    <x v="2"/>
    <n v="35"/>
    <n v="0.51428571428571423"/>
    <n v="0.25714285714285712"/>
    <n v="0.22857142857142856"/>
  </r>
  <r>
    <x v="7"/>
    <x v="3"/>
    <n v="33"/>
    <n v="0.48484848484848486"/>
    <n v="0.21212121212121213"/>
    <n v="0.30303030303030304"/>
  </r>
  <r>
    <x v="8"/>
    <x v="3"/>
    <n v="42"/>
    <n v="0.52380952380952384"/>
    <n v="0.19047619047619047"/>
    <n v="0.2857142857142857"/>
  </r>
  <r>
    <x v="9"/>
    <x v="3"/>
    <n v="58"/>
    <n v="0.43103448275862066"/>
    <n v="0.29310344827586204"/>
    <n v="0.27586206896551724"/>
  </r>
  <r>
    <x v="10"/>
    <x v="4"/>
    <n v="44"/>
    <n v="0.47727272727272729"/>
    <n v="0.22727272727272727"/>
    <n v="0.29545454545454547"/>
  </r>
  <r>
    <x v="11"/>
    <x v="4"/>
    <n v="58"/>
    <n v="0.53448275862068961"/>
    <n v="0.2413793103448276"/>
    <n v="0.22413793103448276"/>
  </r>
  <r>
    <x v="12"/>
    <x v="5"/>
    <n v="51"/>
    <n v="0.45098039215686275"/>
    <n v="0.25490196078431371"/>
    <n v="0.29411764705882354"/>
  </r>
  <r>
    <x v="13"/>
    <x v="5"/>
    <n v="56"/>
    <n v="0.4642857142857143"/>
    <n v="0.19642857142857142"/>
    <n v="0.3392857142857143"/>
  </r>
  <r>
    <x v="14"/>
    <x v="5"/>
    <n v="56"/>
    <n v="0.4642857142857143"/>
    <n v="0.19642857142857142"/>
    <n v="0.3392857142857143"/>
  </r>
  <r>
    <x v="15"/>
    <x v="6"/>
    <n v="57"/>
    <n v="0.42105263157894735"/>
    <n v="0.22807017543859648"/>
    <n v="0.350877192982456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3">
  <r>
    <n v="137"/>
    <d v="1962-05-30T00:00:00"/>
    <x v="0"/>
    <x v="0"/>
    <s v="Mexico"/>
    <n v="2"/>
    <n v="0"/>
    <s v="FIFA World Cup"/>
    <s v="ViÃ±a del Mar"/>
    <s v="Chile"/>
    <b v="1"/>
    <n v="1962"/>
    <n v="19231747851.533199"/>
    <n v="15200000000"/>
    <n v="1"/>
  </r>
  <r>
    <n v="138"/>
    <d v="1962-05-30T00:00:00"/>
    <x v="0"/>
    <x v="1"/>
    <s v="Switzerland"/>
    <n v="3"/>
    <n v="1"/>
    <s v="FIFA World Cup"/>
    <s v="Santiago"/>
    <s v="Chile"/>
    <b v="0"/>
    <n v="1962"/>
    <n v="5765971144.4714203"/>
    <n v="12989649694.2812"/>
    <n v="-1"/>
  </r>
  <r>
    <n v="139"/>
    <d v="1962-05-30T00:00:00"/>
    <x v="0"/>
    <x v="2"/>
    <s v="Uruguay"/>
    <n v="1"/>
    <n v="2"/>
    <s v="FIFA World Cup"/>
    <s v="Arica"/>
    <s v="Chile"/>
    <b v="1"/>
    <n v="1962"/>
    <n v="4955543963.3686895"/>
    <n v="1710004407.22785"/>
    <n v="-1"/>
  </r>
  <r>
    <n v="142"/>
    <d v="1962-05-31T00:00:00"/>
    <x v="0"/>
    <x v="3"/>
    <s v="Italy"/>
    <n v="0"/>
    <n v="0"/>
    <s v="FIFA World Cup"/>
    <s v="Santiago"/>
    <s v="Chile"/>
    <b v="1"/>
    <n v="1962"/>
    <n v="105895435234.343"/>
    <n v="52413872628.004501"/>
    <n v="0"/>
  </r>
  <r>
    <n v="144"/>
    <d v="1962-06-02T00:00:00"/>
    <x v="0"/>
    <x v="4"/>
    <s v="England"/>
    <n v="1"/>
    <n v="3"/>
    <s v="FIFA World Cup"/>
    <s v="Rancagua"/>
    <s v="Chile"/>
    <b v="1"/>
    <n v="1962"/>
    <n v="18337691145.368801"/>
    <n v="81247564156.8246"/>
    <n v="1"/>
  </r>
  <r>
    <n v="146"/>
    <d v="1962-06-02T00:00:00"/>
    <x v="0"/>
    <x v="1"/>
    <s v="Italy"/>
    <n v="2"/>
    <n v="0"/>
    <s v="FIFA World Cup"/>
    <s v="Santiago"/>
    <s v="Chile"/>
    <b v="0"/>
    <n v="1962"/>
    <n v="5765971144.4714203"/>
    <n v="52413872628.004501"/>
    <n v="-1"/>
  </r>
  <r>
    <n v="150"/>
    <d v="1962-06-03T00:00:00"/>
    <x v="0"/>
    <x v="3"/>
    <s v="Switzerland"/>
    <n v="2"/>
    <n v="1"/>
    <s v="FIFA World Cup"/>
    <s v="Santiago"/>
    <s v="Chile"/>
    <b v="1"/>
    <n v="1962"/>
    <n v="105895435234.343"/>
    <n v="12989649694.2812"/>
    <n v="1"/>
  </r>
  <r>
    <n v="151"/>
    <d v="1962-06-03T00:00:00"/>
    <x v="0"/>
    <x v="5"/>
    <s v="Spain"/>
    <n v="0"/>
    <n v="1"/>
    <s v="FIFA World Cup"/>
    <s v="ViÃ±a del Mar"/>
    <s v="Chile"/>
    <b v="1"/>
    <n v="1962"/>
    <n v="15200000000"/>
    <n v="16609632790.584299"/>
    <n v="1"/>
  </r>
  <r>
    <n v="153"/>
    <d v="1962-06-06T00:00:00"/>
    <x v="0"/>
    <x v="0"/>
    <s v="Spain"/>
    <n v="2"/>
    <n v="1"/>
    <s v="FIFA World Cup"/>
    <s v="ViÃ±a del Mar"/>
    <s v="Chile"/>
    <b v="1"/>
    <n v="1962"/>
    <n v="19231747851.533199"/>
    <n v="16609632790.584299"/>
    <n v="1"/>
  </r>
  <r>
    <n v="154"/>
    <d v="1962-06-06T00:00:00"/>
    <x v="0"/>
    <x v="1"/>
    <s v="Germany"/>
    <n v="0"/>
    <n v="2"/>
    <s v="FIFA World Cup"/>
    <s v="Santiago"/>
    <s v="Chile"/>
    <b v="0"/>
    <n v="1962"/>
    <n v="5765971144.4714203"/>
    <n v="105895435234.343"/>
    <n v="1"/>
  </r>
  <r>
    <n v="159"/>
    <d v="1962-06-07T00:00:00"/>
    <x v="0"/>
    <x v="6"/>
    <s v="Switzerland"/>
    <n v="3"/>
    <n v="0"/>
    <s v="FIFA World Cup"/>
    <s v="Santiago"/>
    <s v="Chile"/>
    <b v="1"/>
    <n v="1962"/>
    <n v="52413872628.004501"/>
    <n v="12989649694.2812"/>
    <n v="1"/>
  </r>
  <r>
    <n v="160"/>
    <d v="1962-06-10T00:00:00"/>
    <x v="0"/>
    <x v="0"/>
    <s v="England"/>
    <n v="3"/>
    <n v="1"/>
    <s v="FIFA World Cup"/>
    <s v="ViÃ±a del Mar"/>
    <s v="Chile"/>
    <b v="1"/>
    <n v="1962"/>
    <n v="19231747851.533199"/>
    <n v="81247564156.8246"/>
    <n v="-1"/>
  </r>
  <r>
    <n v="164"/>
    <d v="1962-06-13T00:00:00"/>
    <x v="0"/>
    <x v="1"/>
    <s v="Brazil"/>
    <n v="2"/>
    <n v="4"/>
    <s v="FIFA World Cup"/>
    <s v="Santiago"/>
    <s v="Chile"/>
    <b v="0"/>
    <n v="1962"/>
    <n v="5765971144.4714203"/>
    <n v="19231747851.533199"/>
    <n v="1"/>
  </r>
  <r>
    <n v="168"/>
    <d v="1966-07-11T00:00:00"/>
    <x v="0"/>
    <x v="7"/>
    <s v="Uruguay"/>
    <n v="0"/>
    <n v="0"/>
    <s v="FIFA World Cup"/>
    <s v="London"/>
    <s v="England"/>
    <b v="0"/>
    <n v="1966"/>
    <n v="108572752102.045"/>
    <n v="1809185093.5518799"/>
    <n v="0"/>
  </r>
  <r>
    <n v="170"/>
    <d v="1966-07-12T00:00:00"/>
    <x v="0"/>
    <x v="3"/>
    <s v="Switzerland"/>
    <n v="5"/>
    <n v="0"/>
    <s v="FIFA World Cup"/>
    <s v="Sheffield"/>
    <s v="England"/>
    <b v="1"/>
    <n v="1966"/>
    <n v="143304275683.979"/>
    <n v="18019402373.538799"/>
    <n v="1"/>
  </r>
  <r>
    <n v="172"/>
    <d v="1966-07-13T00:00:00"/>
    <x v="0"/>
    <x v="4"/>
    <s v="Spain"/>
    <n v="2"/>
    <n v="1"/>
    <s v="FIFA World Cup"/>
    <s v="Birmingham"/>
    <s v="England"/>
    <b v="1"/>
    <n v="1966"/>
    <n v="28630474727.902302"/>
    <n v="29559436182.918598"/>
    <n v="-1"/>
  </r>
  <r>
    <n v="173"/>
    <d v="1966-07-13T00:00:00"/>
    <x v="0"/>
    <x v="1"/>
    <s v="Italy"/>
    <n v="0"/>
    <n v="2"/>
    <s v="FIFA World Cup"/>
    <s v="Sunderland"/>
    <s v="England"/>
    <b v="1"/>
    <n v="1966"/>
    <n v="7256882086.1958504"/>
    <n v="76622444787.369598"/>
    <n v="1"/>
  </r>
  <r>
    <n v="174"/>
    <d v="1966-07-13T00:00:00"/>
    <x v="0"/>
    <x v="8"/>
    <s v="Mexico"/>
    <n v="1"/>
    <n v="1"/>
    <s v="FIFA World Cup"/>
    <s v="London"/>
    <s v="England"/>
    <b v="1"/>
    <n v="1966"/>
    <n v="109306730313.216"/>
    <n v="24320000000"/>
    <n v="0"/>
  </r>
  <r>
    <n v="178"/>
    <d v="1966-07-15T00:00:00"/>
    <x v="0"/>
    <x v="8"/>
    <s v="Uruguay"/>
    <n v="1"/>
    <n v="2"/>
    <s v="FIFA World Cup"/>
    <s v="London"/>
    <s v="England"/>
    <b v="1"/>
    <n v="1966"/>
    <n v="109306730313.216"/>
    <n v="1809185093.5518799"/>
    <n v="-1"/>
  </r>
  <r>
    <n v="179"/>
    <d v="1966-07-15T00:00:00"/>
    <x v="0"/>
    <x v="9"/>
    <s v="Switzerland"/>
    <n v="2"/>
    <n v="1"/>
    <s v="FIFA World Cup"/>
    <s v="Sheffield"/>
    <s v="England"/>
    <b v="1"/>
    <n v="1966"/>
    <n v="29559436182.918598"/>
    <n v="18019402373.538799"/>
    <n v="1"/>
  </r>
  <r>
    <n v="180"/>
    <d v="1966-07-16T00:00:00"/>
    <x v="0"/>
    <x v="4"/>
    <s v="Germany"/>
    <n v="0"/>
    <n v="0"/>
    <s v="FIFA World Cup"/>
    <s v="Birmingham"/>
    <s v="England"/>
    <b v="1"/>
    <n v="1966"/>
    <n v="28630474727.902302"/>
    <n v="143304275683.979"/>
    <n v="0"/>
  </r>
  <r>
    <n v="182"/>
    <d v="1966-07-16T00:00:00"/>
    <x v="0"/>
    <x v="7"/>
    <s v="Mexico"/>
    <n v="2"/>
    <n v="0"/>
    <s v="FIFA World Cup"/>
    <s v="London"/>
    <s v="England"/>
    <b v="0"/>
    <n v="1966"/>
    <n v="108572752102.045"/>
    <n v="24320000000"/>
    <n v="1"/>
  </r>
  <r>
    <n v="184"/>
    <d v="1966-07-19T00:00:00"/>
    <x v="0"/>
    <x v="4"/>
    <s v="Switzerland"/>
    <n v="2"/>
    <n v="0"/>
    <s v="FIFA World Cup"/>
    <s v="Sheffield"/>
    <s v="England"/>
    <b v="1"/>
    <n v="1966"/>
    <n v="28630474727.902302"/>
    <n v="18019402373.538799"/>
    <n v="1"/>
  </r>
  <r>
    <n v="185"/>
    <d v="1966-07-19T00:00:00"/>
    <x v="0"/>
    <x v="0"/>
    <s v="Portugal"/>
    <n v="1"/>
    <n v="3"/>
    <s v="FIFA World Cup"/>
    <s v="Liverpool"/>
    <s v="England"/>
    <b v="1"/>
    <n v="1966"/>
    <n v="28283323733.111401"/>
    <n v="5370108031.1285896"/>
    <n v="-1"/>
  </r>
  <r>
    <n v="187"/>
    <d v="1966-07-19T00:00:00"/>
    <x v="0"/>
    <x v="5"/>
    <s v="Uruguay"/>
    <n v="0"/>
    <n v="0"/>
    <s v="FIFA World Cup"/>
    <s v="London"/>
    <s v="England"/>
    <b v="1"/>
    <n v="1966"/>
    <n v="24320000000"/>
    <n v="1809185093.5518799"/>
    <n v="0"/>
  </r>
  <r>
    <n v="190"/>
    <d v="1966-07-20T00:00:00"/>
    <x v="0"/>
    <x v="7"/>
    <s v="France"/>
    <n v="2"/>
    <n v="0"/>
    <s v="FIFA World Cup"/>
    <s v="London"/>
    <s v="England"/>
    <b v="0"/>
    <n v="1966"/>
    <n v="108572752102.045"/>
    <n v="109306730313.216"/>
    <n v="-1"/>
  </r>
  <r>
    <n v="191"/>
    <d v="1966-07-20T00:00:00"/>
    <x v="0"/>
    <x v="3"/>
    <s v="Spain"/>
    <n v="2"/>
    <n v="1"/>
    <s v="FIFA World Cup"/>
    <s v="Birmingham"/>
    <s v="England"/>
    <b v="1"/>
    <n v="1966"/>
    <n v="143304275683.979"/>
    <n v="29559436182.918598"/>
    <n v="1"/>
  </r>
  <r>
    <n v="192"/>
    <d v="1966-07-23T00:00:00"/>
    <x v="0"/>
    <x v="7"/>
    <s v="Argentina"/>
    <n v="1"/>
    <n v="0"/>
    <s v="FIFA World Cup"/>
    <s v="London"/>
    <s v="England"/>
    <b v="0"/>
    <n v="1966"/>
    <n v="108572752102.045"/>
    <n v="28630474727.902302"/>
    <n v="1"/>
  </r>
  <r>
    <n v="193"/>
    <d v="1966-07-23T00:00:00"/>
    <x v="0"/>
    <x v="3"/>
    <s v="Uruguay"/>
    <n v="4"/>
    <n v="0"/>
    <s v="FIFA World Cup"/>
    <s v="Sheffield"/>
    <s v="England"/>
    <b v="1"/>
    <n v="1966"/>
    <n v="143304275683.979"/>
    <n v="1809185093.5518799"/>
    <n v="1"/>
  </r>
  <r>
    <n v="197"/>
    <d v="1966-07-26T00:00:00"/>
    <x v="0"/>
    <x v="7"/>
    <s v="Portugal"/>
    <n v="2"/>
    <n v="1"/>
    <s v="FIFA World Cup"/>
    <s v="London"/>
    <s v="England"/>
    <b v="0"/>
    <n v="1966"/>
    <n v="108572752102.045"/>
    <n v="5370108031.1285896"/>
    <n v="1"/>
  </r>
  <r>
    <n v="199"/>
    <d v="1966-07-30T00:00:00"/>
    <x v="0"/>
    <x v="7"/>
    <s v="Germany"/>
    <n v="4"/>
    <n v="2"/>
    <s v="FIFA World Cup"/>
    <s v="London"/>
    <s v="England"/>
    <b v="0"/>
    <n v="1966"/>
    <n v="108572752102.045"/>
    <n v="143304275683.979"/>
    <n v="-1"/>
  </r>
  <r>
    <n v="203"/>
    <d v="1970-06-02T00:00:00"/>
    <x v="1"/>
    <x v="10"/>
    <s v="Uruguay"/>
    <n v="0"/>
    <n v="2"/>
    <s v="FIFA World Cup"/>
    <s v="Puebla"/>
    <s v="Mexico"/>
    <b v="1"/>
    <n v="1970"/>
    <n v="7406712876.3831997"/>
    <n v="2137096774.1935501"/>
    <n v="-1"/>
  </r>
  <r>
    <n v="204"/>
    <d v="1970-06-03T00:00:00"/>
    <x v="1"/>
    <x v="11"/>
    <s v="El Salvador"/>
    <n v="3"/>
    <n v="0"/>
    <s v="FIFA World Cup"/>
    <s v="Mexico City"/>
    <s v="Mexico"/>
    <b v="1"/>
    <n v="1970"/>
    <n v="26706196046.793098"/>
    <n v="1132920000"/>
    <n v="1"/>
  </r>
  <r>
    <n v="206"/>
    <d v="1970-06-03T00:00:00"/>
    <x v="1"/>
    <x v="3"/>
    <s v="Morocco"/>
    <n v="2"/>
    <n v="1"/>
    <s v="FIFA World Cup"/>
    <s v="LeÃ³n"/>
    <s v="Mexico"/>
    <b v="1"/>
    <n v="1970"/>
    <n v="216629229947.09601"/>
    <n v="3956336244.11865"/>
    <n v="1"/>
  </r>
  <r>
    <n v="207"/>
    <d v="1970-06-03T00:00:00"/>
    <x v="1"/>
    <x v="6"/>
    <s v="Sweden"/>
    <n v="1"/>
    <n v="0"/>
    <s v="FIFA World Cup"/>
    <s v="Toluca"/>
    <s v="Mexico"/>
    <b v="1"/>
    <n v="1970"/>
    <n v="113656669764.56"/>
    <n v="38037226668.213097"/>
    <n v="1"/>
  </r>
  <r>
    <n v="210"/>
    <d v="1970-06-06T00:00:00"/>
    <x v="1"/>
    <x v="6"/>
    <s v="Uruguay"/>
    <n v="0"/>
    <n v="0"/>
    <s v="FIFA World Cup"/>
    <s v="Puebla"/>
    <s v="Mexico"/>
    <b v="1"/>
    <n v="1970"/>
    <n v="113656669764.56"/>
    <n v="2137096774.1935501"/>
    <n v="0"/>
  </r>
  <r>
    <n v="211"/>
    <d v="1970-06-06T00:00:00"/>
    <x v="1"/>
    <x v="12"/>
    <s v="Peru"/>
    <n v="0"/>
    <n v="3"/>
    <s v="FIFA World Cup"/>
    <s v="LeÃ³n"/>
    <s v="Mexico"/>
    <b v="1"/>
    <n v="1970"/>
    <n v="3956336244.11865"/>
    <n v="7432223176.9362297"/>
    <n v="1"/>
  </r>
  <r>
    <n v="212"/>
    <d v="1970-06-07T00:00:00"/>
    <x v="1"/>
    <x v="0"/>
    <s v="England"/>
    <n v="1"/>
    <n v="0"/>
    <s v="FIFA World Cup"/>
    <s v="Guadalajara"/>
    <s v="Mexico"/>
    <b v="1"/>
    <n v="1970"/>
    <n v="42327664793.693398"/>
    <n v="130671946244.3"/>
    <n v="-1"/>
  </r>
  <r>
    <n v="214"/>
    <d v="1970-06-07T00:00:00"/>
    <x v="1"/>
    <x v="10"/>
    <s v="Sweden"/>
    <n v="1"/>
    <n v="1"/>
    <s v="FIFA World Cup"/>
    <s v="Toluca"/>
    <s v="Mexico"/>
    <b v="1"/>
    <n v="1970"/>
    <n v="7406712876.3831997"/>
    <n v="38037226668.213097"/>
    <n v="0"/>
  </r>
  <r>
    <n v="215"/>
    <d v="1970-06-07T00:00:00"/>
    <x v="1"/>
    <x v="5"/>
    <s v="El Salvador"/>
    <n v="4"/>
    <n v="0"/>
    <s v="FIFA World Cup"/>
    <s v="Mexico City"/>
    <s v="Mexico"/>
    <b v="0"/>
    <n v="1970"/>
    <n v="35520000000"/>
    <n v="1132920000"/>
    <n v="1"/>
  </r>
  <r>
    <n v="218"/>
    <d v="1970-06-10T00:00:00"/>
    <x v="1"/>
    <x v="3"/>
    <s v="Peru"/>
    <n v="3"/>
    <n v="1"/>
    <s v="FIFA World Cup"/>
    <s v="LeÃ³n"/>
    <s v="Mexico"/>
    <b v="1"/>
    <n v="1970"/>
    <n v="216629229947.09601"/>
    <n v="7432223176.9362297"/>
    <n v="1"/>
  </r>
  <r>
    <n v="219"/>
    <d v="1970-06-10T00:00:00"/>
    <x v="1"/>
    <x v="13"/>
    <s v="Uruguay"/>
    <n v="1"/>
    <n v="0"/>
    <s v="FIFA World Cup"/>
    <s v="Puebla"/>
    <s v="Mexico"/>
    <b v="1"/>
    <n v="1970"/>
    <n v="38037226668.213097"/>
    <n v="2137096774.1935501"/>
    <n v="1"/>
  </r>
  <r>
    <n v="222"/>
    <d v="1970-06-11T00:00:00"/>
    <x v="1"/>
    <x v="10"/>
    <s v="Italy"/>
    <n v="0"/>
    <n v="0"/>
    <s v="FIFA World Cup"/>
    <s v="Toluca"/>
    <s v="Mexico"/>
    <b v="1"/>
    <n v="1970"/>
    <n v="7406712876.3831997"/>
    <n v="113656669764.56"/>
    <n v="0"/>
  </r>
  <r>
    <n v="223"/>
    <d v="1970-06-11T00:00:00"/>
    <x v="1"/>
    <x v="5"/>
    <s v="Belgium"/>
    <n v="1"/>
    <n v="0"/>
    <s v="FIFA World Cup"/>
    <s v="Mexico City"/>
    <s v="Mexico"/>
    <b v="0"/>
    <n v="1970"/>
    <n v="35520000000"/>
    <n v="26706196046.793098"/>
    <n v="1"/>
  </r>
  <r>
    <n v="224"/>
    <d v="1970-06-14T00:00:00"/>
    <x v="1"/>
    <x v="0"/>
    <s v="Peru"/>
    <n v="4"/>
    <n v="2"/>
    <s v="FIFA World Cup"/>
    <s v="Guadalajara"/>
    <s v="Mexico"/>
    <b v="1"/>
    <n v="1970"/>
    <n v="42327664793.693398"/>
    <n v="7432223176.9362297"/>
    <n v="1"/>
  </r>
  <r>
    <n v="225"/>
    <d v="1970-06-14T00:00:00"/>
    <x v="1"/>
    <x v="7"/>
    <s v="Germany"/>
    <n v="2"/>
    <n v="3"/>
    <s v="FIFA World Cup"/>
    <s v="LeÃ³n"/>
    <s v="Mexico"/>
    <b v="1"/>
    <n v="1970"/>
    <n v="130671946244.3"/>
    <n v="216629229947.09601"/>
    <n v="1"/>
  </r>
  <r>
    <n v="226"/>
    <d v="1970-06-14T00:00:00"/>
    <x v="1"/>
    <x v="5"/>
    <s v="Italy"/>
    <n v="1"/>
    <n v="4"/>
    <s v="FIFA World Cup"/>
    <s v="Toluca"/>
    <s v="Mexico"/>
    <b v="0"/>
    <n v="1970"/>
    <n v="35520000000"/>
    <n v="113656669764.56"/>
    <n v="1"/>
  </r>
  <r>
    <n v="228"/>
    <d v="1970-06-17T00:00:00"/>
    <x v="1"/>
    <x v="0"/>
    <s v="Uruguay"/>
    <n v="3"/>
    <n v="1"/>
    <s v="FIFA World Cup"/>
    <s v="Guadalajara"/>
    <s v="Mexico"/>
    <b v="1"/>
    <n v="1970"/>
    <n v="42327664793.693398"/>
    <n v="2137096774.1935501"/>
    <n v="1"/>
  </r>
  <r>
    <n v="229"/>
    <d v="1970-06-17T00:00:00"/>
    <x v="1"/>
    <x v="3"/>
    <s v="Italy"/>
    <n v="3"/>
    <n v="4"/>
    <s v="FIFA World Cup"/>
    <s v="Mexico City"/>
    <s v="Mexico"/>
    <b v="1"/>
    <n v="1970"/>
    <n v="216629229947.09601"/>
    <n v="113656669764.56"/>
    <n v="-1"/>
  </r>
  <r>
    <n v="230"/>
    <d v="1970-06-20T00:00:00"/>
    <x v="1"/>
    <x v="3"/>
    <s v="Uruguay"/>
    <n v="1"/>
    <n v="0"/>
    <s v="FIFA World Cup"/>
    <s v="Mexico City"/>
    <s v="Mexico"/>
    <b v="1"/>
    <n v="1970"/>
    <n v="216629229947.09601"/>
    <n v="2137096774.1935501"/>
    <n v="1"/>
  </r>
  <r>
    <n v="231"/>
    <d v="1970-06-21T00:00:00"/>
    <x v="1"/>
    <x v="0"/>
    <s v="Italy"/>
    <n v="4"/>
    <n v="1"/>
    <s v="FIFA World Cup"/>
    <s v="Mexico City"/>
    <s v="Mexico"/>
    <b v="1"/>
    <n v="1970"/>
    <n v="42327664793.693398"/>
    <n v="113656669764.56"/>
    <n v="-1"/>
  </r>
  <r>
    <n v="235"/>
    <d v="1974-06-14T00:00:00"/>
    <x v="1"/>
    <x v="3"/>
    <s v="Chile"/>
    <n v="1"/>
    <n v="0"/>
    <s v="FIFA World Cup"/>
    <s v="Berlin"/>
    <s v="Germany"/>
    <b v="0"/>
    <n v="1974"/>
    <n v="446934971657.47101"/>
    <n v="16584311220.138399"/>
    <n v="1"/>
  </r>
  <r>
    <n v="236"/>
    <d v="1974-06-15T00:00:00"/>
    <x v="1"/>
    <x v="6"/>
    <s v="Haiti"/>
    <n v="3"/>
    <n v="1"/>
    <s v="FIFA World Cup"/>
    <s v="Munich"/>
    <s v="Germany"/>
    <b v="1"/>
    <n v="1974"/>
    <n v="200024444775.23099"/>
    <n v="565399321.52081394"/>
    <n v="1"/>
  </r>
  <r>
    <n v="239"/>
    <d v="1974-06-15T00:00:00"/>
    <x v="1"/>
    <x v="14"/>
    <s v="Netherlands"/>
    <n v="0"/>
    <n v="2"/>
    <s v="FIFA World Cup"/>
    <s v="Hanover"/>
    <s v="Germany"/>
    <b v="1"/>
    <n v="1974"/>
    <n v="4090209681.9717202"/>
    <n v="87371810804.164307"/>
    <n v="1"/>
  </r>
  <r>
    <n v="241"/>
    <d v="1974-06-18T00:00:00"/>
    <x v="1"/>
    <x v="3"/>
    <s v="Australia"/>
    <n v="3"/>
    <n v="0"/>
    <s v="FIFA World Cup"/>
    <s v="Hamburg"/>
    <s v="Germany"/>
    <b v="0"/>
    <n v="1974"/>
    <n v="446934971657.47101"/>
    <n v="89086219602.0634"/>
    <n v="1"/>
  </r>
  <r>
    <n v="244"/>
    <d v="1974-06-19T00:00:00"/>
    <x v="1"/>
    <x v="4"/>
    <s v="Italy"/>
    <n v="1"/>
    <n v="1"/>
    <s v="FIFA World Cup"/>
    <s v="Stuttgart"/>
    <s v="Germany"/>
    <b v="1"/>
    <n v="1974"/>
    <n v="72436777342.455399"/>
    <n v="200024444775.23099"/>
    <n v="0"/>
  </r>
  <r>
    <n v="247"/>
    <d v="1974-06-19T00:00:00"/>
    <x v="1"/>
    <x v="15"/>
    <s v="Sweden"/>
    <n v="0"/>
    <n v="0"/>
    <s v="FIFA World Cup"/>
    <s v="Dortmund"/>
    <s v="Germany"/>
    <b v="1"/>
    <n v="1974"/>
    <n v="87371810804.164307"/>
    <n v="65917634590.259903"/>
    <n v="0"/>
  </r>
  <r>
    <n v="248"/>
    <d v="1974-06-22T00:00:00"/>
    <x v="1"/>
    <x v="16"/>
    <s v="Chile"/>
    <n v="0"/>
    <n v="0"/>
    <s v="FIFA World Cup"/>
    <s v="Berlin"/>
    <s v="Germany"/>
    <b v="1"/>
    <n v="1974"/>
    <n v="89086219602.0634"/>
    <n v="16584311220.138399"/>
    <n v="0"/>
  </r>
  <r>
    <n v="252"/>
    <d v="1974-06-23T00:00:00"/>
    <x v="1"/>
    <x v="4"/>
    <s v="Haiti"/>
    <n v="4"/>
    <n v="1"/>
    <s v="FIFA World Cup"/>
    <s v="Munich"/>
    <s v="Germany"/>
    <b v="1"/>
    <n v="1974"/>
    <n v="72436777342.455399"/>
    <n v="565399321.52081394"/>
    <n v="1"/>
  </r>
  <r>
    <n v="255"/>
    <d v="1974-06-23T00:00:00"/>
    <x v="1"/>
    <x v="13"/>
    <s v="Uruguay"/>
    <n v="3"/>
    <n v="0"/>
    <s v="FIFA World Cup"/>
    <s v="DÃ¼sseldorf"/>
    <s v="Germany"/>
    <b v="1"/>
    <n v="1974"/>
    <n v="65917634590.259903"/>
    <n v="4090209681.9717202"/>
    <n v="1"/>
  </r>
  <r>
    <n v="258"/>
    <d v="1974-06-26T00:00:00"/>
    <x v="1"/>
    <x v="15"/>
    <s v="Argentina"/>
    <n v="4"/>
    <n v="0"/>
    <s v="FIFA World Cup"/>
    <s v="Gelsenkirchen"/>
    <s v="Germany"/>
    <b v="1"/>
    <n v="1974"/>
    <n v="87371810804.164307"/>
    <n v="72436777342.455399"/>
    <n v="1"/>
  </r>
  <r>
    <n v="260"/>
    <d v="1974-06-30T00:00:00"/>
    <x v="1"/>
    <x v="4"/>
    <s v="Brazil"/>
    <n v="1"/>
    <n v="2"/>
    <s v="FIFA World Cup"/>
    <s v="Hanover"/>
    <s v="Germany"/>
    <b v="1"/>
    <n v="1974"/>
    <n v="72436777342.455399"/>
    <n v="109794519727.53799"/>
    <n v="1"/>
  </r>
  <r>
    <n v="262"/>
    <d v="1974-06-30T00:00:00"/>
    <x v="1"/>
    <x v="3"/>
    <s v="Sweden"/>
    <n v="4"/>
    <n v="2"/>
    <s v="FIFA World Cup"/>
    <s v="DÃ¼sseldorf"/>
    <s v="Germany"/>
    <b v="0"/>
    <n v="1974"/>
    <n v="446934971657.47101"/>
    <n v="65917634590.259903"/>
    <n v="1"/>
  </r>
  <r>
    <n v="266"/>
    <d v="1974-07-03T00:00:00"/>
    <x v="1"/>
    <x v="15"/>
    <s v="Brazil"/>
    <n v="2"/>
    <n v="0"/>
    <s v="FIFA World Cup"/>
    <s v="Dortmund"/>
    <s v="Germany"/>
    <b v="1"/>
    <n v="1974"/>
    <n v="87371810804.164307"/>
    <n v="109794519727.53799"/>
    <n v="-1"/>
  </r>
  <r>
    <n v="269"/>
    <d v="1974-07-07T00:00:00"/>
    <x v="1"/>
    <x v="3"/>
    <s v="Netherlands"/>
    <n v="2"/>
    <n v="1"/>
    <s v="FIFA World Cup"/>
    <s v="Munich"/>
    <s v="Germany"/>
    <b v="0"/>
    <n v="1974"/>
    <n v="446934971657.47101"/>
    <n v="87371810804.164307"/>
    <n v="1"/>
  </r>
  <r>
    <n v="271"/>
    <d v="1978-06-02T00:00:00"/>
    <x v="1"/>
    <x v="4"/>
    <s v="Hungary"/>
    <n v="2"/>
    <n v="1"/>
    <s v="FIFA World Cup"/>
    <s v="Buenos Aires"/>
    <s v="Argentina"/>
    <b v="0"/>
    <n v="1978"/>
    <n v="89049453088.328201"/>
    <n v="17286744153.707001"/>
    <n v="1"/>
  </r>
  <r>
    <n v="272"/>
    <d v="1978-06-02T00:00:00"/>
    <x v="1"/>
    <x v="8"/>
    <s v="Italy"/>
    <n v="1"/>
    <n v="2"/>
    <s v="FIFA World Cup"/>
    <s v="Mar del Plata"/>
    <s v="Argentina"/>
    <b v="1"/>
    <n v="1978"/>
    <n v="501724418604.651"/>
    <n v="315784469541.40997"/>
    <n v="-1"/>
  </r>
  <r>
    <n v="273"/>
    <d v="1978-06-02T00:00:00"/>
    <x v="1"/>
    <x v="5"/>
    <s v="Tunisia"/>
    <n v="1"/>
    <n v="3"/>
    <s v="FIFA World Cup"/>
    <s v="Rosario"/>
    <s v="Argentina"/>
    <b v="1"/>
    <n v="1978"/>
    <n v="102648570299.117"/>
    <n v="5968460080.1113005"/>
    <n v="-1"/>
  </r>
  <r>
    <n v="274"/>
    <d v="1978-06-03T00:00:00"/>
    <x v="1"/>
    <x v="17"/>
    <s v="Spain"/>
    <n v="2"/>
    <n v="1"/>
    <s v="FIFA World Cup"/>
    <s v="Buenos Aires"/>
    <s v="Argentina"/>
    <b v="1"/>
    <n v="1978"/>
    <n v="61809208755.804001"/>
    <n v="160484969618.056"/>
    <n v="-1"/>
  </r>
  <r>
    <n v="275"/>
    <d v="1978-06-03T00:00:00"/>
    <x v="1"/>
    <x v="0"/>
    <s v="Sweden"/>
    <n v="1"/>
    <n v="1"/>
    <s v="FIFA World Cup"/>
    <s v="Mar del Plata"/>
    <s v="Argentina"/>
    <b v="1"/>
    <n v="1978"/>
    <n v="200278646123.58099"/>
    <n v="104290933495.629"/>
    <n v="0"/>
  </r>
  <r>
    <n v="276"/>
    <d v="1978-06-03T00:00:00"/>
    <x v="1"/>
    <x v="18"/>
    <s v="Netherlands"/>
    <n v="0"/>
    <n v="3"/>
    <s v="FIFA World Cup"/>
    <s v="Mendoza"/>
    <s v="Argentina"/>
    <b v="1"/>
    <n v="1978"/>
    <n v="77994316621.4814"/>
    <n v="156089077205.133"/>
    <n v="1"/>
  </r>
  <r>
    <n v="278"/>
    <d v="1978-06-06T00:00:00"/>
    <x v="1"/>
    <x v="4"/>
    <s v="France"/>
    <n v="2"/>
    <n v="1"/>
    <s v="FIFA World Cup"/>
    <s v="Buenos Aires"/>
    <s v="Argentina"/>
    <b v="0"/>
    <n v="1978"/>
    <n v="89049453088.328201"/>
    <n v="501724418604.651"/>
    <n v="-1"/>
  </r>
  <r>
    <n v="279"/>
    <d v="1978-06-06T00:00:00"/>
    <x v="1"/>
    <x v="3"/>
    <s v="Mexico"/>
    <n v="6"/>
    <n v="0"/>
    <s v="FIFA World Cup"/>
    <s v="CÃ³rdoba"/>
    <s v="Argentina"/>
    <b v="1"/>
    <n v="1978"/>
    <n v="743182891918.20801"/>
    <n v="102648570299.117"/>
    <n v="1"/>
  </r>
  <r>
    <n v="280"/>
    <d v="1978-06-06T00:00:00"/>
    <x v="1"/>
    <x v="19"/>
    <s v="Italy"/>
    <n v="1"/>
    <n v="3"/>
    <s v="FIFA World Cup"/>
    <s v="Mar del Plata"/>
    <s v="Argentina"/>
    <b v="1"/>
    <n v="1978"/>
    <n v="17286744153.707001"/>
    <n v="315784469541.40997"/>
    <n v="1"/>
  </r>
  <r>
    <n v="282"/>
    <d v="1978-06-07T00:00:00"/>
    <x v="1"/>
    <x v="17"/>
    <s v="Sweden"/>
    <n v="1"/>
    <n v="0"/>
    <s v="FIFA World Cup"/>
    <s v="Buenos Aires"/>
    <s v="Argentina"/>
    <b v="1"/>
    <n v="1978"/>
    <n v="61809208755.804001"/>
    <n v="104290933495.629"/>
    <n v="-1"/>
  </r>
  <r>
    <n v="283"/>
    <d v="1978-06-07T00:00:00"/>
    <x v="1"/>
    <x v="0"/>
    <s v="Spain"/>
    <n v="0"/>
    <n v="0"/>
    <s v="FIFA World Cup"/>
    <s v="Mar del Plata"/>
    <s v="Argentina"/>
    <b v="1"/>
    <n v="1978"/>
    <n v="200278646123.58099"/>
    <n v="160484969618.056"/>
    <n v="0"/>
  </r>
  <r>
    <n v="285"/>
    <d v="1978-06-07T00:00:00"/>
    <x v="1"/>
    <x v="15"/>
    <s v="Peru"/>
    <n v="0"/>
    <n v="0"/>
    <s v="FIFA World Cup"/>
    <s v="Mendoza"/>
    <s v="Argentina"/>
    <b v="1"/>
    <n v="1978"/>
    <n v="156089077205.133"/>
    <n v="12491876742.9708"/>
    <n v="0"/>
  </r>
  <r>
    <n v="286"/>
    <d v="1978-06-10T00:00:00"/>
    <x v="1"/>
    <x v="4"/>
    <s v="Italy"/>
    <n v="0"/>
    <n v="1"/>
    <s v="FIFA World Cup"/>
    <s v="Buenos Aires"/>
    <s v="Argentina"/>
    <b v="0"/>
    <n v="1978"/>
    <n v="89049453088.328201"/>
    <n v="315784469541.40997"/>
    <n v="1"/>
  </r>
  <r>
    <n v="287"/>
    <d v="1978-06-10T00:00:00"/>
    <x v="1"/>
    <x v="8"/>
    <s v="Hungary"/>
    <n v="3"/>
    <n v="1"/>
    <s v="FIFA World Cup"/>
    <s v="Mar del Plata"/>
    <s v="Argentina"/>
    <b v="1"/>
    <n v="1978"/>
    <n v="501724418604.651"/>
    <n v="17286744153.707001"/>
    <n v="1"/>
  </r>
  <r>
    <n v="288"/>
    <d v="1978-06-10T00:00:00"/>
    <x v="1"/>
    <x v="3"/>
    <s v="Tunisia"/>
    <n v="0"/>
    <n v="0"/>
    <s v="FIFA World Cup"/>
    <s v="CÃ³rdoba"/>
    <s v="Argentina"/>
    <b v="1"/>
    <n v="1978"/>
    <n v="743182891918.20801"/>
    <n v="5968460080.1113005"/>
    <n v="0"/>
  </r>
  <r>
    <n v="290"/>
    <d v="1978-06-11T00:00:00"/>
    <x v="1"/>
    <x v="17"/>
    <s v="Brazil"/>
    <n v="0"/>
    <n v="1"/>
    <s v="FIFA World Cup"/>
    <s v="Mar del Plata"/>
    <s v="Argentina"/>
    <b v="1"/>
    <n v="1978"/>
    <n v="61809208755.804001"/>
    <n v="200278646123.58099"/>
    <n v="1"/>
  </r>
  <r>
    <n v="291"/>
    <d v="1978-06-11T00:00:00"/>
    <x v="1"/>
    <x v="18"/>
    <s v="Peru"/>
    <n v="1"/>
    <n v="4"/>
    <s v="FIFA World Cup"/>
    <s v="CÃ³rdoba"/>
    <s v="Argentina"/>
    <b v="1"/>
    <n v="1978"/>
    <n v="77994316621.4814"/>
    <n v="12491876742.9708"/>
    <n v="-1"/>
  </r>
  <r>
    <n v="293"/>
    <d v="1978-06-11T00:00:00"/>
    <x v="1"/>
    <x v="9"/>
    <s v="Sweden"/>
    <n v="1"/>
    <n v="0"/>
    <s v="FIFA World Cup"/>
    <s v="Buenos Aires"/>
    <s v="Argentina"/>
    <b v="1"/>
    <n v="1978"/>
    <n v="160484969618.056"/>
    <n v="104290933495.629"/>
    <n v="1"/>
  </r>
  <r>
    <n v="295"/>
    <d v="1978-06-14T00:00:00"/>
    <x v="1"/>
    <x v="17"/>
    <s v="Netherlands"/>
    <n v="1"/>
    <n v="5"/>
    <s v="FIFA World Cup"/>
    <s v="CÃ³rdoba"/>
    <s v="Argentina"/>
    <b v="1"/>
    <n v="1978"/>
    <n v="61809208755.804001"/>
    <n v="156089077205.133"/>
    <n v="1"/>
  </r>
  <r>
    <n v="296"/>
    <d v="1978-06-14T00:00:00"/>
    <x v="1"/>
    <x v="0"/>
    <s v="Peru"/>
    <n v="3"/>
    <n v="0"/>
    <s v="FIFA World Cup"/>
    <s v="Mendoza"/>
    <s v="Argentina"/>
    <b v="1"/>
    <n v="1978"/>
    <n v="200278646123.58099"/>
    <n v="12491876742.9708"/>
    <n v="1"/>
  </r>
  <r>
    <n v="297"/>
    <d v="1978-06-14T00:00:00"/>
    <x v="1"/>
    <x v="3"/>
    <s v="Italy"/>
    <n v="0"/>
    <n v="0"/>
    <s v="FIFA World Cup"/>
    <s v="Buenos Aires"/>
    <s v="Argentina"/>
    <b v="1"/>
    <n v="1978"/>
    <n v="743182891918.20801"/>
    <n v="315784469541.40997"/>
    <n v="0"/>
  </r>
  <r>
    <n v="298"/>
    <d v="1978-06-18T00:00:00"/>
    <x v="1"/>
    <x v="4"/>
    <s v="Brazil"/>
    <n v="0"/>
    <n v="0"/>
    <s v="FIFA World Cup"/>
    <s v="Rosario"/>
    <s v="Argentina"/>
    <b v="0"/>
    <n v="1978"/>
    <n v="89049453088.328201"/>
    <n v="200278646123.58099"/>
    <n v="0"/>
  </r>
  <r>
    <n v="299"/>
    <d v="1978-06-18T00:00:00"/>
    <x v="1"/>
    <x v="17"/>
    <s v="Italy"/>
    <n v="0"/>
    <n v="1"/>
    <s v="FIFA World Cup"/>
    <s v="Buenos Aires"/>
    <s v="Argentina"/>
    <b v="1"/>
    <n v="1978"/>
    <n v="61809208755.804001"/>
    <n v="315784469541.40997"/>
    <n v="1"/>
  </r>
  <r>
    <n v="300"/>
    <d v="1978-06-18T00:00:00"/>
    <x v="1"/>
    <x v="3"/>
    <s v="Netherlands"/>
    <n v="2"/>
    <n v="2"/>
    <s v="FIFA World Cup"/>
    <s v="CÃ³rdoba"/>
    <s v="Argentina"/>
    <b v="1"/>
    <n v="1978"/>
    <n v="743182891918.20801"/>
    <n v="156089077205.133"/>
    <n v="0"/>
  </r>
  <r>
    <n v="302"/>
    <d v="1978-06-21T00:00:00"/>
    <x v="1"/>
    <x v="4"/>
    <s v="Peru"/>
    <n v="6"/>
    <n v="0"/>
    <s v="FIFA World Cup"/>
    <s v="Rosario"/>
    <s v="Argentina"/>
    <b v="0"/>
    <n v="1978"/>
    <n v="89049453088.328201"/>
    <n v="12491876742.9708"/>
    <n v="1"/>
  </r>
  <r>
    <n v="303"/>
    <d v="1978-06-21T00:00:00"/>
    <x v="1"/>
    <x v="17"/>
    <s v="Germany"/>
    <n v="3"/>
    <n v="2"/>
    <s v="FIFA World Cup"/>
    <s v="CÃ³rdoba"/>
    <s v="Argentina"/>
    <b v="1"/>
    <n v="1978"/>
    <n v="61809208755.804001"/>
    <n v="743182891918.20801"/>
    <n v="-1"/>
  </r>
  <r>
    <n v="305"/>
    <d v="1978-06-21T00:00:00"/>
    <x v="1"/>
    <x v="6"/>
    <s v="Netherlands"/>
    <n v="1"/>
    <n v="2"/>
    <s v="FIFA World Cup"/>
    <s v="Buenos Aires"/>
    <s v="Argentina"/>
    <b v="1"/>
    <n v="1978"/>
    <n v="315784469541.40997"/>
    <n v="156089077205.133"/>
    <n v="-1"/>
  </r>
  <r>
    <n v="306"/>
    <d v="1978-06-24T00:00:00"/>
    <x v="1"/>
    <x v="0"/>
    <s v="Italy"/>
    <n v="2"/>
    <n v="1"/>
    <s v="FIFA World Cup"/>
    <s v="Buenos Aires"/>
    <s v="Argentina"/>
    <b v="1"/>
    <n v="1978"/>
    <n v="200278646123.58099"/>
    <n v="315784469541.40997"/>
    <n v="-1"/>
  </r>
  <r>
    <n v="307"/>
    <d v="1978-06-25T00:00:00"/>
    <x v="1"/>
    <x v="4"/>
    <s v="Netherlands"/>
    <n v="3"/>
    <n v="1"/>
    <s v="FIFA World Cup"/>
    <s v="Buenos Aires"/>
    <s v="Argentina"/>
    <b v="0"/>
    <n v="1978"/>
    <n v="89049453088.328201"/>
    <n v="156089077205.133"/>
    <n v="-1"/>
  </r>
  <r>
    <n v="308"/>
    <d v="1982-06-13T00:00:00"/>
    <x v="2"/>
    <x v="4"/>
    <s v="Belgium"/>
    <n v="0"/>
    <n v="1"/>
    <s v="FIFA World Cup"/>
    <s v="Barcelona"/>
    <s v="Spain"/>
    <b v="1"/>
    <n v="1982"/>
    <n v="84307486836.723999"/>
    <n v="92095926187.533096"/>
    <n v="1"/>
  </r>
  <r>
    <n v="311"/>
    <d v="1982-06-15T00:00:00"/>
    <x v="2"/>
    <x v="19"/>
    <s v="El Salvador"/>
    <n v="10"/>
    <n v="1"/>
    <s v="FIFA World Cup"/>
    <s v="Elche"/>
    <s v="Spain"/>
    <b v="1"/>
    <n v="1982"/>
    <n v="24141667188.051701"/>
    <n v="3399189100"/>
    <n v="1"/>
  </r>
  <r>
    <n v="312"/>
    <d v="1982-06-15T00:00:00"/>
    <x v="2"/>
    <x v="20"/>
    <s v="Cameroon"/>
    <n v="0"/>
    <n v="0"/>
    <s v="FIFA World Cup"/>
    <s v="La CoruÃ±a"/>
    <s v="Spain"/>
    <b v="1"/>
    <n v="1982"/>
    <n v="21794535621.216"/>
    <n v="6611255963.8358402"/>
    <n v="0"/>
  </r>
  <r>
    <n v="314"/>
    <d v="1982-06-16T00:00:00"/>
    <x v="2"/>
    <x v="7"/>
    <s v="France"/>
    <n v="3"/>
    <n v="1"/>
    <s v="FIFA World Cup"/>
    <s v="Bilbao"/>
    <s v="Spain"/>
    <b v="1"/>
    <n v="1982"/>
    <n v="515048916841.37"/>
    <n v="578152310609.84094"/>
    <n v="-1"/>
  </r>
  <r>
    <n v="315"/>
    <d v="1982-06-16T00:00:00"/>
    <x v="2"/>
    <x v="3"/>
    <s v="Algeria"/>
    <n v="1"/>
    <n v="2"/>
    <s v="FIFA World Cup"/>
    <s v="GijÃ³n"/>
    <s v="Spain"/>
    <b v="1"/>
    <n v="1982"/>
    <n v="779421633755.13794"/>
    <n v="45207167470.349701"/>
    <n v="-1"/>
  </r>
  <r>
    <n v="316"/>
    <d v="1982-06-16T00:00:00"/>
    <x v="2"/>
    <x v="9"/>
    <s v="Honduras"/>
    <n v="1"/>
    <n v="1"/>
    <s v="FIFA World Cup"/>
    <s v="Valencia"/>
    <s v="Spain"/>
    <b v="0"/>
    <n v="1982"/>
    <n v="195856752991.065"/>
    <n v="3619500000"/>
    <n v="0"/>
  </r>
  <r>
    <n v="317"/>
    <d v="1982-06-17T00:00:00"/>
    <x v="2"/>
    <x v="1"/>
    <s v="Austria"/>
    <n v="0"/>
    <n v="1"/>
    <s v="FIFA World Cup"/>
    <s v="Oviedo"/>
    <s v="Spain"/>
    <b v="1"/>
    <n v="1982"/>
    <n v="19710229067.2864"/>
    <n v="70996111962.571594"/>
    <n v="1"/>
  </r>
  <r>
    <n v="320"/>
    <d v="1982-06-18T00:00:00"/>
    <x v="2"/>
    <x v="4"/>
    <s v="Hungary"/>
    <n v="4"/>
    <n v="1"/>
    <s v="FIFA World Cup"/>
    <s v="Alicante"/>
    <s v="Spain"/>
    <b v="1"/>
    <n v="1982"/>
    <n v="84307486836.723999"/>
    <n v="24141667188.051701"/>
    <n v="1"/>
  </r>
  <r>
    <n v="322"/>
    <d v="1982-06-18T00:00:00"/>
    <x v="2"/>
    <x v="6"/>
    <s v="Peru"/>
    <n v="1"/>
    <n v="1"/>
    <s v="FIFA World Cup"/>
    <s v="Vigo"/>
    <s v="Spain"/>
    <b v="1"/>
    <n v="1982"/>
    <n v="428257421617.75201"/>
    <n v="21794535621.216"/>
    <n v="0"/>
  </r>
  <r>
    <n v="323"/>
    <d v="1982-06-19T00:00:00"/>
    <x v="2"/>
    <x v="11"/>
    <s v="El Salvador"/>
    <n v="1"/>
    <n v="0"/>
    <s v="FIFA World Cup"/>
    <s v="Elche"/>
    <s v="Spain"/>
    <b v="1"/>
    <n v="1982"/>
    <n v="92095926187.533096"/>
    <n v="3399189100"/>
    <n v="1"/>
  </r>
  <r>
    <n v="327"/>
    <d v="1982-06-20T00:00:00"/>
    <x v="2"/>
    <x v="3"/>
    <s v="Chile"/>
    <n v="4"/>
    <n v="1"/>
    <s v="FIFA World Cup"/>
    <s v="GijÃ³n"/>
    <s v="Spain"/>
    <b v="1"/>
    <n v="1982"/>
    <n v="779421633755.13794"/>
    <n v="19710229067.2864"/>
    <n v="1"/>
  </r>
  <r>
    <n v="329"/>
    <d v="1982-06-21T00:00:00"/>
    <x v="2"/>
    <x v="21"/>
    <s v="Austria"/>
    <n v="0"/>
    <n v="2"/>
    <s v="FIFA World Cup"/>
    <s v="Oviedo"/>
    <s v="Spain"/>
    <b v="1"/>
    <n v="1982"/>
    <n v="45207167470.349701"/>
    <n v="70996111962.571594"/>
    <n v="1"/>
  </r>
  <r>
    <n v="330"/>
    <d v="1982-06-21T00:00:00"/>
    <x v="2"/>
    <x v="8"/>
    <s v="Kuwait"/>
    <n v="4"/>
    <n v="1"/>
    <s v="FIFA World Cup"/>
    <s v="Valladolid"/>
    <s v="Spain"/>
    <b v="1"/>
    <n v="1982"/>
    <n v="578152310609.84094"/>
    <n v="21577153356.419201"/>
    <n v="1"/>
  </r>
  <r>
    <n v="332"/>
    <d v="1982-06-22T00:00:00"/>
    <x v="2"/>
    <x v="11"/>
    <s v="Hungary"/>
    <n v="1"/>
    <n v="1"/>
    <s v="FIFA World Cup"/>
    <s v="Elche"/>
    <s v="Spain"/>
    <b v="1"/>
    <n v="1982"/>
    <n v="92095926187.533096"/>
    <n v="24141667188.051701"/>
    <n v="0"/>
  </r>
  <r>
    <n v="335"/>
    <d v="1982-06-23T00:00:00"/>
    <x v="2"/>
    <x v="4"/>
    <s v="El Salvador"/>
    <n v="2"/>
    <n v="0"/>
    <s v="FIFA World Cup"/>
    <s v="Alicante"/>
    <s v="Spain"/>
    <b v="1"/>
    <n v="1982"/>
    <n v="84307486836.723999"/>
    <n v="3399189100"/>
    <n v="1"/>
  </r>
  <r>
    <n v="336"/>
    <d v="1982-06-23T00:00:00"/>
    <x v="2"/>
    <x v="0"/>
    <s v="New Zealand"/>
    <n v="4"/>
    <n v="0"/>
    <s v="FIFA World Cup"/>
    <s v="Seville"/>
    <s v="Spain"/>
    <b v="1"/>
    <n v="1982"/>
    <n v="271314113768.41699"/>
    <n v="24164603058.9949"/>
    <n v="1"/>
  </r>
  <r>
    <n v="337"/>
    <d v="1982-06-23T00:00:00"/>
    <x v="2"/>
    <x v="6"/>
    <s v="Cameroon"/>
    <n v="1"/>
    <n v="1"/>
    <s v="FIFA World Cup"/>
    <s v="Vigo"/>
    <s v="Spain"/>
    <b v="1"/>
    <n v="1982"/>
    <n v="428257421617.75201"/>
    <n v="6611255963.8358402"/>
    <n v="0"/>
  </r>
  <r>
    <n v="338"/>
    <d v="1982-06-24T00:00:00"/>
    <x v="2"/>
    <x v="21"/>
    <s v="Chile"/>
    <n v="3"/>
    <n v="2"/>
    <s v="FIFA World Cup"/>
    <s v="Oviedo"/>
    <s v="Spain"/>
    <b v="1"/>
    <n v="1982"/>
    <n v="45207167470.349701"/>
    <n v="19710229067.2864"/>
    <n v="1"/>
  </r>
  <r>
    <n v="341"/>
    <d v="1982-06-25T00:00:00"/>
    <x v="2"/>
    <x v="7"/>
    <s v="Kuwait"/>
    <n v="1"/>
    <n v="0"/>
    <s v="FIFA World Cup"/>
    <s v="Bilbao"/>
    <s v="Spain"/>
    <b v="1"/>
    <n v="1982"/>
    <n v="515048916841.37"/>
    <n v="21577153356.419201"/>
    <n v="1"/>
  </r>
  <r>
    <n v="342"/>
    <d v="1982-06-25T00:00:00"/>
    <x v="2"/>
    <x v="3"/>
    <s v="Austria"/>
    <n v="1"/>
    <n v="0"/>
    <s v="FIFA World Cup"/>
    <s v="GijÃ³n"/>
    <s v="Spain"/>
    <b v="1"/>
    <n v="1982"/>
    <n v="779421633755.13794"/>
    <n v="70996111962.571594"/>
    <n v="1"/>
  </r>
  <r>
    <n v="344"/>
    <d v="1982-06-28T00:00:00"/>
    <x v="2"/>
    <x v="17"/>
    <s v="France"/>
    <n v="0"/>
    <n v="1"/>
    <s v="FIFA World Cup"/>
    <s v="Madrid"/>
    <s v="Spain"/>
    <b v="1"/>
    <n v="1982"/>
    <n v="70996111962.571594"/>
    <n v="578152310609.84094"/>
    <n v="1"/>
  </r>
  <r>
    <n v="346"/>
    <d v="1982-06-29T00:00:00"/>
    <x v="2"/>
    <x v="3"/>
    <s v="England"/>
    <n v="0"/>
    <n v="0"/>
    <s v="FIFA World Cup"/>
    <s v="Madrid"/>
    <s v="Spain"/>
    <b v="1"/>
    <n v="1982"/>
    <n v="779421633755.13794"/>
    <n v="515048916841.37"/>
    <n v="0"/>
  </r>
  <r>
    <n v="347"/>
    <d v="1982-06-29T00:00:00"/>
    <x v="2"/>
    <x v="6"/>
    <s v="Argentina"/>
    <n v="2"/>
    <n v="1"/>
    <s v="FIFA World Cup"/>
    <s v="Barcelona"/>
    <s v="Spain"/>
    <b v="1"/>
    <n v="1982"/>
    <n v="428257421617.75201"/>
    <n v="84307486836.723999"/>
    <n v="1"/>
  </r>
  <r>
    <n v="350"/>
    <d v="1982-07-02T00:00:00"/>
    <x v="2"/>
    <x v="4"/>
    <s v="Brazil"/>
    <n v="1"/>
    <n v="3"/>
    <s v="FIFA World Cup"/>
    <s v="Barcelona"/>
    <s v="Spain"/>
    <b v="1"/>
    <n v="1982"/>
    <n v="84307486836.723999"/>
    <n v="271314113768.41699"/>
    <n v="1"/>
  </r>
  <r>
    <n v="351"/>
    <d v="1982-07-02T00:00:00"/>
    <x v="2"/>
    <x v="9"/>
    <s v="Germany"/>
    <n v="1"/>
    <n v="2"/>
    <s v="FIFA World Cup"/>
    <s v="Madrid"/>
    <s v="Spain"/>
    <b v="0"/>
    <n v="1982"/>
    <n v="195856752991.065"/>
    <n v="779421633755.13794"/>
    <n v="1"/>
  </r>
  <r>
    <n v="354"/>
    <d v="1982-07-05T00:00:00"/>
    <x v="2"/>
    <x v="6"/>
    <s v="Brazil"/>
    <n v="3"/>
    <n v="2"/>
    <s v="FIFA World Cup"/>
    <s v="Barcelona"/>
    <s v="Spain"/>
    <b v="1"/>
    <n v="1982"/>
    <n v="428257421617.75201"/>
    <n v="271314113768.41699"/>
    <n v="1"/>
  </r>
  <r>
    <n v="355"/>
    <d v="1982-07-05T00:00:00"/>
    <x v="2"/>
    <x v="9"/>
    <s v="England"/>
    <n v="0"/>
    <n v="0"/>
    <s v="FIFA World Cup"/>
    <s v="Madrid"/>
    <s v="Spain"/>
    <b v="0"/>
    <n v="1982"/>
    <n v="195856752991.065"/>
    <n v="515048916841.37"/>
    <n v="0"/>
  </r>
  <r>
    <n v="356"/>
    <d v="1982-07-08T00:00:00"/>
    <x v="2"/>
    <x v="3"/>
    <s v="France"/>
    <n v="3"/>
    <n v="3"/>
    <s v="FIFA World Cup"/>
    <s v="Seville"/>
    <s v="Spain"/>
    <b v="1"/>
    <n v="1982"/>
    <n v="779421633755.13794"/>
    <n v="578152310609.84094"/>
    <n v="0"/>
  </r>
  <r>
    <n v="359"/>
    <d v="1982-07-11T00:00:00"/>
    <x v="2"/>
    <x v="6"/>
    <s v="Germany"/>
    <n v="3"/>
    <n v="1"/>
    <s v="FIFA World Cup"/>
    <s v="Madrid"/>
    <s v="Spain"/>
    <b v="1"/>
    <n v="1982"/>
    <n v="428257421617.75201"/>
    <n v="779421633755.13794"/>
    <n v="-1"/>
  </r>
  <r>
    <n v="360"/>
    <d v="1986-05-31T00:00:00"/>
    <x v="2"/>
    <x v="22"/>
    <s v="Italy"/>
    <n v="1"/>
    <n v="1"/>
    <s v="FIFA World Cup"/>
    <s v="Mexico City"/>
    <s v="Mexico"/>
    <b v="1"/>
    <n v="1986"/>
    <n v="20249294117.647099"/>
    <n v="641862313287.43994"/>
    <n v="0"/>
  </r>
  <r>
    <n v="361"/>
    <d v="1986-06-01T00:00:00"/>
    <x v="2"/>
    <x v="23"/>
    <s v="France"/>
    <n v="0"/>
    <n v="1"/>
    <s v="FIFA World Cup"/>
    <s v="LeÃ³n"/>
    <s v="Mexico"/>
    <b v="1"/>
    <n v="1986"/>
    <n v="379006836991.724"/>
    <n v="764946585850.93298"/>
    <n v="1"/>
  </r>
  <r>
    <n v="362"/>
    <d v="1986-06-01T00:00:00"/>
    <x v="2"/>
    <x v="9"/>
    <s v="Brazil"/>
    <n v="0"/>
    <n v="1"/>
    <s v="FIFA World Cup"/>
    <s v="Guadalajara"/>
    <s v="Mexico"/>
    <b v="1"/>
    <n v="1986"/>
    <n v="251141555185.93301"/>
    <n v="256480852471.129"/>
    <n v="1"/>
  </r>
  <r>
    <n v="367"/>
    <d v="1986-06-03T00:00:00"/>
    <x v="2"/>
    <x v="5"/>
    <s v="Belgium"/>
    <n v="2"/>
    <n v="1"/>
    <s v="FIFA World Cup"/>
    <s v="Mexico City"/>
    <s v="Mexico"/>
    <b v="0"/>
    <n v="1986"/>
    <n v="134556034672.991"/>
    <n v="120018787249.41299"/>
    <n v="1"/>
  </r>
  <r>
    <n v="368"/>
    <d v="1986-06-03T00:00:00"/>
    <x v="2"/>
    <x v="24"/>
    <s v="England"/>
    <n v="1"/>
    <n v="0"/>
    <s v="FIFA World Cup"/>
    <s v="Monterrey"/>
    <s v="Mexico"/>
    <b v="1"/>
    <n v="1986"/>
    <n v="38745901353.705902"/>
    <n v="601452653180.88501"/>
    <n v="-1"/>
  </r>
  <r>
    <n v="369"/>
    <d v="1986-06-04T00:00:00"/>
    <x v="2"/>
    <x v="25"/>
    <s v="Iraq"/>
    <n v="1"/>
    <n v="0"/>
    <s v="FIFA World Cup"/>
    <s v="Toluca"/>
    <s v="Mexico"/>
    <b v="1"/>
    <n v="1986"/>
    <n v="3723993942.7908802"/>
    <n v="47264516129.032303"/>
    <n v="-1"/>
  </r>
  <r>
    <n v="371"/>
    <d v="1986-06-04T00:00:00"/>
    <x v="2"/>
    <x v="14"/>
    <s v="Germany"/>
    <n v="1"/>
    <n v="1"/>
    <s v="FIFA World Cup"/>
    <s v="QuerÃ©taro"/>
    <s v="Mexico"/>
    <b v="1"/>
    <n v="1986"/>
    <n v="5880112788.4094696"/>
    <n v="1050092624515.9"/>
    <n v="0"/>
  </r>
  <r>
    <n v="373"/>
    <d v="1986-06-05T00:00:00"/>
    <x v="2"/>
    <x v="6"/>
    <s v="Argentina"/>
    <n v="1"/>
    <n v="1"/>
    <s v="FIFA World Cup"/>
    <s v="Puebla"/>
    <s v="Mexico"/>
    <b v="1"/>
    <n v="1986"/>
    <n v="641862313287.43994"/>
    <n v="105872372613.85699"/>
    <n v="0"/>
  </r>
  <r>
    <n v="375"/>
    <d v="1986-06-06T00:00:00"/>
    <x v="2"/>
    <x v="0"/>
    <s v="Algeria"/>
    <n v="1"/>
    <n v="0"/>
    <s v="FIFA World Cup"/>
    <s v="Guadalajara"/>
    <s v="Mexico"/>
    <b v="1"/>
    <n v="1986"/>
    <n v="256480852471.129"/>
    <n v="63692007897.3834"/>
    <n v="1"/>
  </r>
  <r>
    <n v="376"/>
    <d v="1986-06-06T00:00:00"/>
    <x v="2"/>
    <x v="7"/>
    <s v="Morocco"/>
    <n v="0"/>
    <n v="0"/>
    <s v="FIFA World Cup"/>
    <s v="Monterrey"/>
    <s v="Mexico"/>
    <b v="1"/>
    <n v="1986"/>
    <n v="601452653180.88501"/>
    <n v="19462085540.223099"/>
    <n v="0"/>
  </r>
  <r>
    <n v="377"/>
    <d v="1986-06-06T00:00:00"/>
    <x v="2"/>
    <x v="19"/>
    <s v="Canada"/>
    <n v="2"/>
    <n v="0"/>
    <s v="FIFA World Cup"/>
    <s v="Irapuato"/>
    <s v="Mexico"/>
    <b v="1"/>
    <n v="1986"/>
    <n v="24778163812.0131"/>
    <n v="379006836991.724"/>
    <n v="-1"/>
  </r>
  <r>
    <n v="378"/>
    <d v="1986-06-07T00:00:00"/>
    <x v="2"/>
    <x v="5"/>
    <s v="Paraguay"/>
    <n v="1"/>
    <n v="1"/>
    <s v="FIFA World Cup"/>
    <s v="Mexico City"/>
    <s v="Mexico"/>
    <b v="0"/>
    <n v="1986"/>
    <n v="134556034672.991"/>
    <n v="3723993942.7908802"/>
    <n v="0"/>
  </r>
  <r>
    <n v="381"/>
    <d v="1986-06-08T00:00:00"/>
    <x v="2"/>
    <x v="26"/>
    <s v="Uruguay"/>
    <n v="6"/>
    <n v="1"/>
    <s v="FIFA World Cup"/>
    <s v="NezahualcÃ³yotl"/>
    <s v="Mexico"/>
    <b v="1"/>
    <n v="1986"/>
    <n v="87748695216.9077"/>
    <n v="5880112788.4094696"/>
    <n v="1"/>
  </r>
  <r>
    <n v="383"/>
    <d v="1986-06-08T00:00:00"/>
    <x v="2"/>
    <x v="27"/>
    <s v="Belgium"/>
    <n v="1"/>
    <n v="2"/>
    <s v="FIFA World Cup"/>
    <s v="Toluca"/>
    <s v="Mexico"/>
    <b v="1"/>
    <n v="1986"/>
    <n v="47264516129.032303"/>
    <n v="120018787249.41299"/>
    <n v="1"/>
  </r>
  <r>
    <n v="384"/>
    <d v="1986-06-09T00:00:00"/>
    <x v="2"/>
    <x v="19"/>
    <s v="France"/>
    <n v="0"/>
    <n v="3"/>
    <s v="FIFA World Cup"/>
    <s v="LeÃ³n"/>
    <s v="Mexico"/>
    <b v="1"/>
    <n v="1986"/>
    <n v="24778163812.0131"/>
    <n v="764946585850.93298"/>
    <n v="1"/>
  </r>
  <r>
    <n v="386"/>
    <d v="1986-06-10T00:00:00"/>
    <x v="2"/>
    <x v="4"/>
    <s v="Bulgaria"/>
    <n v="2"/>
    <n v="0"/>
    <s v="FIFA World Cup"/>
    <s v="Mexico City"/>
    <s v="Mexico"/>
    <b v="1"/>
    <n v="1986"/>
    <n v="105872372613.85699"/>
    <n v="20249294117.647099"/>
    <n v="1"/>
  </r>
  <r>
    <n v="389"/>
    <d v="1986-06-11T00:00:00"/>
    <x v="2"/>
    <x v="5"/>
    <s v="Iraq"/>
    <n v="1"/>
    <n v="0"/>
    <s v="FIFA World Cup"/>
    <s v="Mexico City"/>
    <s v="Mexico"/>
    <b v="0"/>
    <n v="1986"/>
    <n v="134556034672.991"/>
    <n v="47264516129.032303"/>
    <n v="1"/>
  </r>
  <r>
    <n v="390"/>
    <d v="1986-06-11T00:00:00"/>
    <x v="2"/>
    <x v="25"/>
    <s v="Belgium"/>
    <n v="2"/>
    <n v="2"/>
    <s v="FIFA World Cup"/>
    <s v="Toluca"/>
    <s v="Mexico"/>
    <b v="1"/>
    <n v="1986"/>
    <n v="3723993942.7908802"/>
    <n v="120018787249.41299"/>
    <n v="0"/>
  </r>
  <r>
    <n v="391"/>
    <d v="1986-06-11T00:00:00"/>
    <x v="2"/>
    <x v="24"/>
    <s v="Morocco"/>
    <n v="1"/>
    <n v="3"/>
    <s v="FIFA World Cup"/>
    <s v="Guadalajara"/>
    <s v="Mexico"/>
    <b v="1"/>
    <n v="1986"/>
    <n v="38745901353.705902"/>
    <n v="19462085540.223099"/>
    <n v="-1"/>
  </r>
  <r>
    <n v="392"/>
    <d v="1986-06-12T00:00:00"/>
    <x v="2"/>
    <x v="21"/>
    <s v="Spain"/>
    <n v="0"/>
    <n v="3"/>
    <s v="FIFA World Cup"/>
    <s v="Monterrey"/>
    <s v="Mexico"/>
    <b v="1"/>
    <n v="1986"/>
    <n v="63692007897.3834"/>
    <n v="251141555185.93301"/>
    <n v="1"/>
  </r>
  <r>
    <n v="394"/>
    <d v="1986-06-13T00:00:00"/>
    <x v="2"/>
    <x v="26"/>
    <s v="Germany"/>
    <n v="2"/>
    <n v="0"/>
    <s v="FIFA World Cup"/>
    <s v="QuerÃ©taro"/>
    <s v="Mexico"/>
    <b v="1"/>
    <n v="1986"/>
    <n v="87748695216.9077"/>
    <n v="1050092624515.9"/>
    <n v="-1"/>
  </r>
  <r>
    <n v="396"/>
    <d v="1986-06-15T00:00:00"/>
    <x v="2"/>
    <x v="5"/>
    <s v="Bulgaria"/>
    <n v="2"/>
    <n v="0"/>
    <s v="FIFA World Cup"/>
    <s v="Mexico City"/>
    <s v="Mexico"/>
    <b v="0"/>
    <n v="1986"/>
    <n v="134556034672.991"/>
    <n v="20249294117.647099"/>
    <n v="1"/>
  </r>
  <r>
    <n v="398"/>
    <d v="1986-06-16T00:00:00"/>
    <x v="2"/>
    <x v="4"/>
    <s v="Uruguay"/>
    <n v="1"/>
    <n v="0"/>
    <s v="FIFA World Cup"/>
    <s v="Puebla"/>
    <s v="Mexico"/>
    <b v="1"/>
    <n v="1986"/>
    <n v="105872372613.85699"/>
    <n v="5880112788.4094696"/>
    <n v="1"/>
  </r>
  <r>
    <n v="400"/>
    <d v="1986-06-17T00:00:00"/>
    <x v="2"/>
    <x v="6"/>
    <s v="France"/>
    <n v="0"/>
    <n v="2"/>
    <s v="FIFA World Cup"/>
    <s v="Mexico City"/>
    <s v="Mexico"/>
    <b v="1"/>
    <n v="1986"/>
    <n v="641862313287.43994"/>
    <n v="764946585850.93298"/>
    <n v="1"/>
  </r>
  <r>
    <n v="401"/>
    <d v="1986-06-17T00:00:00"/>
    <x v="2"/>
    <x v="12"/>
    <s v="Germany"/>
    <n v="0"/>
    <n v="1"/>
    <s v="FIFA World Cup"/>
    <s v="Monterrey"/>
    <s v="Mexico"/>
    <b v="1"/>
    <n v="1986"/>
    <n v="19462085540.223099"/>
    <n v="1050092624515.9"/>
    <n v="1"/>
  </r>
  <r>
    <n v="402"/>
    <d v="1986-06-18T00:00:00"/>
    <x v="2"/>
    <x v="26"/>
    <s v="Spain"/>
    <n v="1"/>
    <n v="5"/>
    <s v="FIFA World Cup"/>
    <s v="QuerÃ©taro"/>
    <s v="Mexico"/>
    <b v="1"/>
    <n v="1986"/>
    <n v="87748695216.9077"/>
    <n v="251141555185.93301"/>
    <n v="1"/>
  </r>
  <r>
    <n v="403"/>
    <d v="1986-06-18T00:00:00"/>
    <x v="2"/>
    <x v="7"/>
    <s v="Paraguay"/>
    <n v="3"/>
    <n v="0"/>
    <s v="FIFA World Cup"/>
    <s v="Mexico City"/>
    <s v="Mexico"/>
    <b v="1"/>
    <n v="1986"/>
    <n v="601452653180.88501"/>
    <n v="3723993942.7908802"/>
    <n v="1"/>
  </r>
  <r>
    <n v="404"/>
    <d v="1986-06-21T00:00:00"/>
    <x v="2"/>
    <x v="0"/>
    <s v="France"/>
    <n v="1"/>
    <n v="1"/>
    <s v="FIFA World Cup"/>
    <s v="Guadalajara"/>
    <s v="Mexico"/>
    <b v="1"/>
    <n v="1986"/>
    <n v="256480852471.129"/>
    <n v="764946585850.93298"/>
    <n v="0"/>
  </r>
  <r>
    <n v="405"/>
    <d v="1986-06-21T00:00:00"/>
    <x v="2"/>
    <x v="5"/>
    <s v="Germany"/>
    <n v="0"/>
    <n v="0"/>
    <s v="FIFA World Cup"/>
    <s v="Monterrey"/>
    <s v="Mexico"/>
    <b v="0"/>
    <n v="1986"/>
    <n v="134556034672.991"/>
    <n v="1050092624515.9"/>
    <n v="0"/>
  </r>
  <r>
    <n v="406"/>
    <d v="1986-06-22T00:00:00"/>
    <x v="2"/>
    <x v="4"/>
    <s v="England"/>
    <n v="2"/>
    <n v="1"/>
    <s v="FIFA World Cup"/>
    <s v="Mexico City"/>
    <s v="Mexico"/>
    <b v="1"/>
    <n v="1986"/>
    <n v="105872372613.85699"/>
    <n v="601452653180.88501"/>
    <n v="-1"/>
  </r>
  <r>
    <n v="407"/>
    <d v="1986-06-22T00:00:00"/>
    <x v="2"/>
    <x v="9"/>
    <s v="Belgium"/>
    <n v="1"/>
    <n v="1"/>
    <s v="FIFA World Cup"/>
    <s v="Puebla"/>
    <s v="Mexico"/>
    <b v="1"/>
    <n v="1986"/>
    <n v="251141555185.93301"/>
    <n v="120018787249.41299"/>
    <n v="0"/>
  </r>
  <r>
    <n v="408"/>
    <d v="1986-06-25T00:00:00"/>
    <x v="2"/>
    <x v="4"/>
    <s v="Belgium"/>
    <n v="2"/>
    <n v="0"/>
    <s v="FIFA World Cup"/>
    <s v="Mexico City"/>
    <s v="Mexico"/>
    <b v="1"/>
    <n v="1986"/>
    <n v="105872372613.85699"/>
    <n v="120018787249.41299"/>
    <n v="-1"/>
  </r>
  <r>
    <n v="409"/>
    <d v="1986-06-25T00:00:00"/>
    <x v="2"/>
    <x v="8"/>
    <s v="Germany"/>
    <n v="0"/>
    <n v="2"/>
    <s v="FIFA World Cup"/>
    <s v="Guadalajara"/>
    <s v="Mexico"/>
    <b v="1"/>
    <n v="1986"/>
    <n v="764946585850.93298"/>
    <n v="1050092624515.9"/>
    <n v="1"/>
  </r>
  <r>
    <n v="410"/>
    <d v="1986-06-28T00:00:00"/>
    <x v="2"/>
    <x v="8"/>
    <s v="Belgium"/>
    <n v="4"/>
    <n v="2"/>
    <s v="FIFA World Cup"/>
    <s v="Puebla"/>
    <s v="Mexico"/>
    <b v="1"/>
    <n v="1986"/>
    <n v="764946585850.93298"/>
    <n v="120018787249.41299"/>
    <n v="1"/>
  </r>
  <r>
    <n v="411"/>
    <d v="1986-06-29T00:00:00"/>
    <x v="2"/>
    <x v="4"/>
    <s v="Germany"/>
    <n v="3"/>
    <n v="2"/>
    <s v="FIFA World Cup"/>
    <s v="Mexico City"/>
    <s v="Mexico"/>
    <b v="1"/>
    <n v="1986"/>
    <n v="105872372613.85699"/>
    <n v="1050092624515.9"/>
    <n v="-1"/>
  </r>
  <r>
    <n v="412"/>
    <d v="1990-06-08T00:00:00"/>
    <x v="3"/>
    <x v="4"/>
    <s v="Cameroon"/>
    <n v="0"/>
    <n v="1"/>
    <s v="FIFA World Cup"/>
    <s v="Milan"/>
    <s v="Italy"/>
    <b v="1"/>
    <n v="1990"/>
    <n v="141352654305.16299"/>
    <n v="12314482627.8454"/>
    <n v="-1"/>
  </r>
  <r>
    <n v="413"/>
    <d v="1990-06-09T00:00:00"/>
    <x v="3"/>
    <x v="6"/>
    <s v="Austria"/>
    <n v="1"/>
    <n v="0"/>
    <s v="FIFA World Cup"/>
    <s v="Rome"/>
    <s v="Italy"/>
    <b v="0"/>
    <n v="1990"/>
    <n v="1183945130898.51"/>
    <n v="165811372382.91199"/>
    <n v="1"/>
  </r>
  <r>
    <n v="415"/>
    <d v="1990-06-09T00:00:00"/>
    <x v="3"/>
    <x v="28"/>
    <s v="Colombia"/>
    <n v="0"/>
    <n v="2"/>
    <s v="FIFA World Cup"/>
    <s v="Bologna"/>
    <s v="Italy"/>
    <b v="1"/>
    <n v="1990"/>
    <n v="50701443748.297501"/>
    <n v="47844090709.990799"/>
    <n v="-1"/>
  </r>
  <r>
    <n v="416"/>
    <d v="1990-06-10T00:00:00"/>
    <x v="3"/>
    <x v="0"/>
    <s v="Sweden"/>
    <n v="2"/>
    <n v="1"/>
    <s v="FIFA World Cup"/>
    <s v="Turin"/>
    <s v="Italy"/>
    <b v="1"/>
    <n v="1990"/>
    <n v="390725626002.86603"/>
    <n v="261466577008.853"/>
    <n v="1"/>
  </r>
  <r>
    <n v="418"/>
    <d v="1990-06-10T00:00:00"/>
    <x v="3"/>
    <x v="29"/>
    <s v="Czechia"/>
    <n v="1"/>
    <n v="5"/>
    <s v="FIFA World Cup"/>
    <s v="Florence"/>
    <s v="Italy"/>
    <b v="1"/>
    <n v="1990"/>
    <n v="5963144000000"/>
    <n v="41016881802.484299"/>
    <n v="-1"/>
  </r>
  <r>
    <n v="422"/>
    <d v="1990-06-12T00:00:00"/>
    <x v="3"/>
    <x v="15"/>
    <s v="Egypt"/>
    <n v="1"/>
    <n v="1"/>
    <s v="FIFA World Cup"/>
    <s v="Palermo"/>
    <s v="Italy"/>
    <b v="1"/>
    <n v="1990"/>
    <n v="318799003993.70697"/>
    <n v="42978914311.350403"/>
    <n v="0"/>
  </r>
  <r>
    <n v="424"/>
    <d v="1990-06-13T00:00:00"/>
    <x v="3"/>
    <x v="14"/>
    <s v="Spain"/>
    <n v="0"/>
    <n v="0"/>
    <s v="FIFA World Cup"/>
    <s v="Udine"/>
    <s v="Italy"/>
    <b v="1"/>
    <n v="1990"/>
    <n v="9298807850.2997894"/>
    <n v="536175326477.31"/>
    <n v="0"/>
  </r>
  <r>
    <n v="425"/>
    <d v="1990-06-14T00:00:00"/>
    <x v="3"/>
    <x v="30"/>
    <s v="Romania"/>
    <n v="2"/>
    <n v="1"/>
    <s v="FIFA World Cup"/>
    <s v="Bari"/>
    <s v="Italy"/>
    <b v="1"/>
    <n v="1990"/>
    <n v="12314482627.8454"/>
    <n v="38247882300.490402"/>
    <n v="-1"/>
  </r>
  <r>
    <n v="426"/>
    <d v="1990-06-14T00:00:00"/>
    <x v="3"/>
    <x v="6"/>
    <s v="United States"/>
    <n v="1"/>
    <n v="0"/>
    <s v="FIFA World Cup"/>
    <s v="Rome"/>
    <s v="Italy"/>
    <b v="0"/>
    <n v="1990"/>
    <n v="1183945130898.51"/>
    <n v="5963144000000"/>
    <n v="-1"/>
  </r>
  <r>
    <n v="428"/>
    <d v="1990-06-15T00:00:00"/>
    <x v="3"/>
    <x v="17"/>
    <s v="Czechia"/>
    <n v="0"/>
    <n v="1"/>
    <s v="FIFA World Cup"/>
    <s v="Florence"/>
    <s v="Italy"/>
    <b v="1"/>
    <n v="1990"/>
    <n v="165811372382.91199"/>
    <n v="41016881802.484299"/>
    <n v="-1"/>
  </r>
  <r>
    <n v="429"/>
    <d v="1990-06-15T00:00:00"/>
    <x v="3"/>
    <x v="3"/>
    <s v="United Arab Emirates"/>
    <n v="5"/>
    <n v="1"/>
    <s v="FIFA World Cup"/>
    <s v="Milan"/>
    <s v="Italy"/>
    <b v="1"/>
    <n v="1990"/>
    <n v="1778162195860.0701"/>
    <n v="50701443748.297501"/>
    <n v="1"/>
  </r>
  <r>
    <n v="430"/>
    <d v="1990-06-16T00:00:00"/>
    <x v="3"/>
    <x v="0"/>
    <s v="Costa Rica"/>
    <n v="1"/>
    <n v="0"/>
    <s v="FIFA World Cup"/>
    <s v="Turin"/>
    <s v="Italy"/>
    <b v="1"/>
    <n v="1990"/>
    <n v="390725626002.86603"/>
    <n v="5711687786.7598896"/>
    <n v="1"/>
  </r>
  <r>
    <n v="431"/>
    <d v="1990-06-16T00:00:00"/>
    <x v="3"/>
    <x v="7"/>
    <s v="Netherlands"/>
    <n v="0"/>
    <n v="0"/>
    <s v="FIFA World Cup"/>
    <s v="Cagliari"/>
    <s v="Italy"/>
    <b v="1"/>
    <n v="1990"/>
    <n v="1093169389204.55"/>
    <n v="318799003993.70697"/>
    <n v="0"/>
  </r>
  <r>
    <n v="433"/>
    <d v="1990-06-17T00:00:00"/>
    <x v="3"/>
    <x v="11"/>
    <s v="Uruguay"/>
    <n v="3"/>
    <n v="1"/>
    <s v="FIFA World Cup"/>
    <s v="Verona"/>
    <s v="Italy"/>
    <b v="1"/>
    <n v="1990"/>
    <n v="205331747947.85101"/>
    <n v="9298807850.2997894"/>
    <n v="1"/>
  </r>
  <r>
    <n v="436"/>
    <d v="1990-06-18T00:00:00"/>
    <x v="3"/>
    <x v="4"/>
    <s v="Romania"/>
    <n v="1"/>
    <n v="1"/>
    <s v="FIFA World Cup"/>
    <s v="Naples"/>
    <s v="Italy"/>
    <b v="1"/>
    <n v="1990"/>
    <n v="141352654305.16299"/>
    <n v="38247882300.490402"/>
    <n v="0"/>
  </r>
  <r>
    <n v="438"/>
    <d v="1990-06-19T00:00:00"/>
    <x v="3"/>
    <x v="17"/>
    <s v="United States"/>
    <n v="2"/>
    <n v="1"/>
    <s v="FIFA World Cup"/>
    <s v="Florence"/>
    <s v="Italy"/>
    <b v="1"/>
    <n v="1990"/>
    <n v="165811372382.91199"/>
    <n v="5963144000000"/>
    <n v="-1"/>
  </r>
  <r>
    <n v="439"/>
    <d v="1990-06-19T00:00:00"/>
    <x v="3"/>
    <x v="3"/>
    <s v="Colombia"/>
    <n v="1"/>
    <n v="1"/>
    <s v="FIFA World Cup"/>
    <s v="Milan"/>
    <s v="Italy"/>
    <b v="1"/>
    <n v="1990"/>
    <n v="1778162195860.0701"/>
    <n v="47844090709.990799"/>
    <n v="0"/>
  </r>
  <r>
    <n v="440"/>
    <d v="1990-06-19T00:00:00"/>
    <x v="3"/>
    <x v="6"/>
    <s v="Czechia"/>
    <n v="2"/>
    <n v="0"/>
    <s v="FIFA World Cup"/>
    <s v="Rome"/>
    <s v="Italy"/>
    <b v="0"/>
    <n v="1990"/>
    <n v="1183945130898.51"/>
    <n v="41016881802.484299"/>
    <n v="1"/>
  </r>
  <r>
    <n v="443"/>
    <d v="1990-06-20T00:00:00"/>
    <x v="3"/>
    <x v="13"/>
    <s v="Costa Rica"/>
    <n v="1"/>
    <n v="2"/>
    <s v="FIFA World Cup"/>
    <s v="Genoa"/>
    <s v="Italy"/>
    <b v="1"/>
    <n v="1990"/>
    <n v="261466577008.853"/>
    <n v="5711687786.7598896"/>
    <n v="-1"/>
  </r>
  <r>
    <n v="444"/>
    <d v="1990-06-21T00:00:00"/>
    <x v="3"/>
    <x v="11"/>
    <s v="Spain"/>
    <n v="1"/>
    <n v="2"/>
    <s v="FIFA World Cup"/>
    <s v="Verona"/>
    <s v="Italy"/>
    <b v="1"/>
    <n v="1990"/>
    <n v="205331747947.85101"/>
    <n v="536175326477.31"/>
    <n v="1"/>
  </r>
  <r>
    <n v="445"/>
    <d v="1990-06-21T00:00:00"/>
    <x v="3"/>
    <x v="7"/>
    <s v="Egypt"/>
    <n v="1"/>
    <n v="0"/>
    <s v="FIFA World Cup"/>
    <s v="Cagliari"/>
    <s v="Italy"/>
    <b v="1"/>
    <n v="1990"/>
    <n v="1093169389204.55"/>
    <n v="42978914311.350403"/>
    <n v="1"/>
  </r>
  <r>
    <n v="448"/>
    <d v="1990-06-23T00:00:00"/>
    <x v="3"/>
    <x v="30"/>
    <s v="Colombia"/>
    <n v="2"/>
    <n v="1"/>
    <s v="FIFA World Cup"/>
    <s v="Naples"/>
    <s v="Italy"/>
    <b v="1"/>
    <n v="1990"/>
    <n v="12314482627.8454"/>
    <n v="47844090709.990799"/>
    <n v="-1"/>
  </r>
  <r>
    <n v="449"/>
    <d v="1990-06-23T00:00:00"/>
    <x v="3"/>
    <x v="31"/>
    <s v="Costa Rica"/>
    <n v="4"/>
    <n v="1"/>
    <s v="FIFA World Cup"/>
    <s v="Bari"/>
    <s v="Italy"/>
    <b v="1"/>
    <n v="1990"/>
    <n v="41016881802.484299"/>
    <n v="5711687786.7598896"/>
    <n v="1"/>
  </r>
  <r>
    <n v="450"/>
    <d v="1990-06-24T00:00:00"/>
    <x v="3"/>
    <x v="0"/>
    <s v="Argentina"/>
    <n v="0"/>
    <n v="1"/>
    <s v="FIFA World Cup"/>
    <s v="Turin"/>
    <s v="Italy"/>
    <b v="1"/>
    <n v="1990"/>
    <n v="390725626002.86603"/>
    <n v="141352654305.16299"/>
    <n v="-1"/>
  </r>
  <r>
    <n v="451"/>
    <d v="1990-06-24T00:00:00"/>
    <x v="3"/>
    <x v="3"/>
    <s v="Netherlands"/>
    <n v="2"/>
    <n v="1"/>
    <s v="FIFA World Cup"/>
    <s v="Milan"/>
    <s v="Italy"/>
    <b v="1"/>
    <n v="1990"/>
    <n v="1778162195860.0701"/>
    <n v="318799003993.70697"/>
    <n v="1"/>
  </r>
  <r>
    <n v="453"/>
    <d v="1990-06-25T00:00:00"/>
    <x v="3"/>
    <x v="6"/>
    <s v="Uruguay"/>
    <n v="2"/>
    <n v="0"/>
    <s v="FIFA World Cup"/>
    <s v="Rome"/>
    <s v="Italy"/>
    <b v="0"/>
    <n v="1990"/>
    <n v="1183945130898.51"/>
    <n v="9298807850.2997894"/>
    <n v="1"/>
  </r>
  <r>
    <n v="454"/>
    <d v="1990-06-26T00:00:00"/>
    <x v="3"/>
    <x v="7"/>
    <s v="Belgium"/>
    <n v="1"/>
    <n v="0"/>
    <s v="FIFA World Cup"/>
    <s v="Bologna"/>
    <s v="Italy"/>
    <b v="1"/>
    <n v="1990"/>
    <n v="1093169389204.55"/>
    <n v="205331747947.85101"/>
    <n v="1"/>
  </r>
  <r>
    <n v="458"/>
    <d v="1990-07-01T00:00:00"/>
    <x v="3"/>
    <x v="30"/>
    <s v="England"/>
    <n v="2"/>
    <n v="3"/>
    <s v="FIFA World Cup"/>
    <s v="Naples"/>
    <s v="Italy"/>
    <b v="1"/>
    <n v="1990"/>
    <n v="12314482627.8454"/>
    <n v="1093169389204.55"/>
    <n v="1"/>
  </r>
  <r>
    <n v="459"/>
    <d v="1990-07-01T00:00:00"/>
    <x v="3"/>
    <x v="3"/>
    <s v="Czechia"/>
    <n v="1"/>
    <n v="0"/>
    <s v="FIFA World Cup"/>
    <s v="Milan"/>
    <s v="Italy"/>
    <b v="1"/>
    <n v="1990"/>
    <n v="1778162195860.0701"/>
    <n v="41016881802.484299"/>
    <n v="1"/>
  </r>
  <r>
    <n v="460"/>
    <d v="1990-07-03T00:00:00"/>
    <x v="3"/>
    <x v="6"/>
    <s v="Argentina"/>
    <n v="1"/>
    <n v="1"/>
    <s v="FIFA World Cup"/>
    <s v="Naples"/>
    <s v="Italy"/>
    <b v="0"/>
    <n v="1990"/>
    <n v="1183945130898.51"/>
    <n v="141352654305.16299"/>
    <n v="0"/>
  </r>
  <r>
    <n v="461"/>
    <d v="1990-07-04T00:00:00"/>
    <x v="3"/>
    <x v="3"/>
    <s v="England"/>
    <n v="1"/>
    <n v="1"/>
    <s v="FIFA World Cup"/>
    <s v="Turin"/>
    <s v="Italy"/>
    <b v="1"/>
    <n v="1990"/>
    <n v="1778162195860.0701"/>
    <n v="1093169389204.55"/>
    <n v="0"/>
  </r>
  <r>
    <n v="462"/>
    <d v="1990-07-07T00:00:00"/>
    <x v="3"/>
    <x v="6"/>
    <s v="England"/>
    <n v="2"/>
    <n v="1"/>
    <s v="FIFA World Cup"/>
    <s v="Bari"/>
    <s v="Italy"/>
    <b v="0"/>
    <n v="1990"/>
    <n v="1183945130898.51"/>
    <n v="1093169389204.55"/>
    <n v="1"/>
  </r>
  <r>
    <n v="463"/>
    <d v="1990-07-08T00:00:00"/>
    <x v="3"/>
    <x v="3"/>
    <s v="Argentina"/>
    <n v="1"/>
    <n v="0"/>
    <s v="FIFA World Cup"/>
    <s v="Rome"/>
    <s v="Italy"/>
    <b v="1"/>
    <n v="1990"/>
    <n v="1778162195860.0701"/>
    <n v="141352654305.16299"/>
    <n v="1"/>
  </r>
  <r>
    <n v="464"/>
    <d v="1994-06-17T00:00:00"/>
    <x v="3"/>
    <x v="3"/>
    <s v="Bolivia"/>
    <n v="1"/>
    <n v="0"/>
    <s v="FIFA World Cup"/>
    <s v="Chicago"/>
    <s v="United States"/>
    <b v="1"/>
    <n v="1994"/>
    <n v="2215282632276.73"/>
    <n v="5981222858.8272696"/>
    <n v="1"/>
  </r>
  <r>
    <n v="466"/>
    <d v="1994-06-18T00:00:00"/>
    <x v="3"/>
    <x v="2"/>
    <s v="Romania"/>
    <n v="1"/>
    <n v="3"/>
    <s v="FIFA World Cup"/>
    <s v="Pasadena"/>
    <s v="United States"/>
    <b v="1"/>
    <n v="1994"/>
    <n v="81703500846.036407"/>
    <n v="30072805104.2542"/>
    <n v="-1"/>
  </r>
  <r>
    <n v="468"/>
    <d v="1994-06-18T00:00:00"/>
    <x v="3"/>
    <x v="29"/>
    <s v="Switzerland"/>
    <n v="1"/>
    <n v="1"/>
    <s v="FIFA World Cup"/>
    <s v="Pontiac"/>
    <s v="United States"/>
    <b v="0"/>
    <n v="1994"/>
    <n v="7287236000000"/>
    <n v="301375055202.164"/>
    <n v="0"/>
  </r>
  <r>
    <n v="469"/>
    <d v="1994-06-19T00:00:00"/>
    <x v="3"/>
    <x v="11"/>
    <s v="Morocco"/>
    <n v="1"/>
    <n v="0"/>
    <s v="FIFA World Cup"/>
    <s v="Orlando"/>
    <s v="United States"/>
    <b v="1"/>
    <n v="1994"/>
    <n v="244884129491.198"/>
    <n v="35604137422.579597"/>
    <n v="1"/>
  </r>
  <r>
    <n v="470"/>
    <d v="1994-06-19T00:00:00"/>
    <x v="3"/>
    <x v="30"/>
    <s v="Sweden"/>
    <n v="2"/>
    <n v="2"/>
    <s v="FIFA World Cup"/>
    <s v="Pasadena"/>
    <s v="United States"/>
    <b v="1"/>
    <n v="1994"/>
    <n v="8902446252.1837196"/>
    <n v="228699066874.02802"/>
    <n v="0"/>
  </r>
  <r>
    <n v="471"/>
    <d v="1994-06-19T00:00:00"/>
    <x v="3"/>
    <x v="32"/>
    <s v="Mexico"/>
    <n v="1"/>
    <n v="0"/>
    <s v="FIFA World Cup"/>
    <s v="Washington, D.C."/>
    <s v="United States"/>
    <b v="1"/>
    <n v="1994"/>
    <n v="127131319428.701"/>
    <n v="553618247900.73999"/>
    <n v="-1"/>
  </r>
  <r>
    <n v="473"/>
    <d v="1994-06-20T00:00:00"/>
    <x v="3"/>
    <x v="15"/>
    <s v="Saudi Arabia"/>
    <n v="2"/>
    <n v="1"/>
    <s v="FIFA World Cup"/>
    <s v="Washington, D.C."/>
    <s v="United States"/>
    <b v="1"/>
    <n v="1994"/>
    <n v="379688232231.505"/>
    <n v="135174899866.489"/>
    <n v="1"/>
  </r>
  <r>
    <n v="474"/>
    <d v="1994-06-21T00:00:00"/>
    <x v="3"/>
    <x v="4"/>
    <s v="Greece"/>
    <n v="4"/>
    <n v="0"/>
    <s v="FIFA World Cup"/>
    <s v="Foxborough"/>
    <s v="United States"/>
    <b v="1"/>
    <n v="1994"/>
    <n v="257440000000"/>
    <n v="114980063202.24699"/>
    <n v="1"/>
  </r>
  <r>
    <n v="475"/>
    <d v="1994-06-21T00:00:00"/>
    <x v="3"/>
    <x v="3"/>
    <s v="Spain"/>
    <n v="1"/>
    <n v="1"/>
    <s v="FIFA World Cup"/>
    <s v="Chicago"/>
    <s v="United States"/>
    <b v="1"/>
    <n v="1994"/>
    <n v="2215282632276.73"/>
    <n v="530183651720.28302"/>
    <n v="0"/>
  </r>
  <r>
    <n v="476"/>
    <d v="1994-06-21T00:00:00"/>
    <x v="3"/>
    <x v="33"/>
    <s v="Bulgaria"/>
    <n v="3"/>
    <n v="0"/>
    <s v="FIFA World Cup"/>
    <s v="Dallas"/>
    <s v="United States"/>
    <b v="1"/>
    <n v="1994"/>
    <n v="80399613063.636398"/>
    <n v="9709240033.9897308"/>
    <n v="1"/>
  </r>
  <r>
    <n v="477"/>
    <d v="1994-06-22T00:00:00"/>
    <x v="3"/>
    <x v="34"/>
    <s v="Switzerland"/>
    <n v="1"/>
    <n v="4"/>
    <s v="FIFA World Cup"/>
    <s v="Pontiac"/>
    <s v="United States"/>
    <b v="1"/>
    <n v="1994"/>
    <n v="30072805104.2542"/>
    <n v="301375055202.164"/>
    <n v="1"/>
  </r>
  <r>
    <n v="478"/>
    <d v="1994-06-22T00:00:00"/>
    <x v="3"/>
    <x v="29"/>
    <s v="Colombia"/>
    <n v="2"/>
    <n v="1"/>
    <s v="FIFA World Cup"/>
    <s v="Pasadena"/>
    <s v="United States"/>
    <b v="0"/>
    <n v="1994"/>
    <n v="7287236000000"/>
    <n v="81703500846.036407"/>
    <n v="1"/>
  </r>
  <r>
    <n v="479"/>
    <d v="1994-06-23T00:00:00"/>
    <x v="3"/>
    <x v="6"/>
    <s v="Norway"/>
    <n v="1"/>
    <n v="0"/>
    <s v="FIFA World Cup"/>
    <s v="East Rutherford"/>
    <s v="United States"/>
    <b v="1"/>
    <n v="1994"/>
    <n v="1101750159702.21"/>
    <n v="127131319428.701"/>
    <n v="1"/>
  </r>
  <r>
    <n v="481"/>
    <d v="1994-06-24T00:00:00"/>
    <x v="3"/>
    <x v="0"/>
    <s v="Cameroon"/>
    <n v="3"/>
    <n v="0"/>
    <s v="FIFA World Cup"/>
    <s v="Palo Alto"/>
    <s v="United States"/>
    <b v="1"/>
    <n v="1994"/>
    <n v="525369851353.742"/>
    <n v="8902446252.1837196"/>
    <n v="1"/>
  </r>
  <r>
    <n v="484"/>
    <d v="1994-06-25T00:00:00"/>
    <x v="3"/>
    <x v="4"/>
    <s v="Nigeria"/>
    <n v="2"/>
    <n v="1"/>
    <s v="FIFA World Cup"/>
    <s v="Foxborough"/>
    <s v="United States"/>
    <b v="1"/>
    <n v="1994"/>
    <n v="257440000000"/>
    <n v="80399613063.636398"/>
    <n v="1"/>
  </r>
  <r>
    <n v="485"/>
    <d v="1994-06-25T00:00:00"/>
    <x v="3"/>
    <x v="11"/>
    <s v="Netherlands"/>
    <n v="1"/>
    <n v="0"/>
    <s v="FIFA World Cup"/>
    <s v="Orlando"/>
    <s v="United States"/>
    <b v="1"/>
    <n v="1994"/>
    <n v="244884129491.198"/>
    <n v="379688232231.505"/>
    <n v="-1"/>
  </r>
  <r>
    <n v="486"/>
    <d v="1994-06-25T00:00:00"/>
    <x v="3"/>
    <x v="35"/>
    <s v="Morocco"/>
    <n v="2"/>
    <n v="1"/>
    <s v="FIFA World Cup"/>
    <s v="East Rutherford"/>
    <s v="United States"/>
    <b v="1"/>
    <n v="1994"/>
    <n v="135174899866.489"/>
    <n v="35604137422.579597"/>
    <n v="1"/>
  </r>
  <r>
    <n v="487"/>
    <d v="1994-06-26T00:00:00"/>
    <x v="3"/>
    <x v="22"/>
    <s v="Greece"/>
    <n v="4"/>
    <n v="0"/>
    <s v="FIFA World Cup"/>
    <s v="Chicago"/>
    <s v="United States"/>
    <b v="1"/>
    <n v="1994"/>
    <n v="9709240033.9897308"/>
    <n v="114980063202.24699"/>
    <n v="-1"/>
  </r>
  <r>
    <n v="488"/>
    <d v="1994-06-26T00:00:00"/>
    <x v="3"/>
    <x v="36"/>
    <s v="Colombia"/>
    <n v="0"/>
    <n v="2"/>
    <s v="FIFA World Cup"/>
    <s v="Palo Alto"/>
    <s v="United States"/>
    <b v="1"/>
    <n v="1994"/>
    <n v="301375055202.164"/>
    <n v="81703500846.036407"/>
    <n v="-1"/>
  </r>
  <r>
    <n v="489"/>
    <d v="1994-06-26T00:00:00"/>
    <x v="3"/>
    <x v="29"/>
    <s v="Romania"/>
    <n v="0"/>
    <n v="1"/>
    <s v="FIFA World Cup"/>
    <s v="Pasadena"/>
    <s v="United States"/>
    <b v="0"/>
    <n v="1994"/>
    <n v="7287236000000"/>
    <n v="30072805104.2542"/>
    <n v="-1"/>
  </r>
  <r>
    <n v="490"/>
    <d v="1994-06-27T00:00:00"/>
    <x v="3"/>
    <x v="37"/>
    <s v="Spain"/>
    <n v="1"/>
    <n v="3"/>
    <s v="FIFA World Cup"/>
    <s v="Chicago"/>
    <s v="United States"/>
    <b v="1"/>
    <n v="1994"/>
    <n v="5981222858.8272696"/>
    <n v="530183651720.28302"/>
    <n v="1"/>
  </r>
  <r>
    <n v="492"/>
    <d v="1994-06-28T00:00:00"/>
    <x v="3"/>
    <x v="0"/>
    <s v="Sweden"/>
    <n v="1"/>
    <n v="1"/>
    <s v="FIFA World Cup"/>
    <s v="Pontiac"/>
    <s v="United States"/>
    <b v="1"/>
    <n v="1994"/>
    <n v="525369851353.742"/>
    <n v="228699066874.02802"/>
    <n v="0"/>
  </r>
  <r>
    <n v="494"/>
    <d v="1994-06-28T00:00:00"/>
    <x v="3"/>
    <x v="6"/>
    <s v="Mexico"/>
    <n v="1"/>
    <n v="1"/>
    <s v="FIFA World Cup"/>
    <s v="Washington, D.C."/>
    <s v="United States"/>
    <b v="1"/>
    <n v="1994"/>
    <n v="1101750159702.21"/>
    <n v="553618247900.73999"/>
    <n v="0"/>
  </r>
  <r>
    <n v="496"/>
    <d v="1994-06-29T00:00:00"/>
    <x v="3"/>
    <x v="11"/>
    <s v="Saudi Arabia"/>
    <n v="0"/>
    <n v="1"/>
    <s v="FIFA World Cup"/>
    <s v="Washington, D.C."/>
    <s v="United States"/>
    <b v="1"/>
    <n v="1994"/>
    <n v="244884129491.198"/>
    <n v="135174899866.489"/>
    <n v="-1"/>
  </r>
  <r>
    <n v="497"/>
    <d v="1994-06-29T00:00:00"/>
    <x v="3"/>
    <x v="12"/>
    <s v="Netherlands"/>
    <n v="1"/>
    <n v="2"/>
    <s v="FIFA World Cup"/>
    <s v="Orlando"/>
    <s v="United States"/>
    <b v="1"/>
    <n v="1994"/>
    <n v="35604137422.579597"/>
    <n v="379688232231.505"/>
    <n v="1"/>
  </r>
  <r>
    <n v="498"/>
    <d v="1994-06-30T00:00:00"/>
    <x v="3"/>
    <x v="4"/>
    <s v="Bulgaria"/>
    <n v="0"/>
    <n v="2"/>
    <s v="FIFA World Cup"/>
    <s v="Dallas"/>
    <s v="United States"/>
    <b v="1"/>
    <n v="1994"/>
    <n v="257440000000"/>
    <n v="9709240033.9897308"/>
    <n v="-1"/>
  </r>
  <r>
    <n v="499"/>
    <d v="1994-06-30T00:00:00"/>
    <x v="3"/>
    <x v="38"/>
    <s v="Nigeria"/>
    <n v="0"/>
    <n v="2"/>
    <s v="FIFA World Cup"/>
    <s v="Foxborough"/>
    <s v="United States"/>
    <b v="1"/>
    <n v="1994"/>
    <n v="114980063202.24699"/>
    <n v="80399613063.636398"/>
    <n v="-1"/>
  </r>
  <r>
    <n v="500"/>
    <d v="1994-07-02T00:00:00"/>
    <x v="3"/>
    <x v="3"/>
    <s v="Belgium"/>
    <n v="3"/>
    <n v="2"/>
    <s v="FIFA World Cup"/>
    <s v="Chicago"/>
    <s v="United States"/>
    <b v="1"/>
    <n v="1994"/>
    <n v="2215282632276.73"/>
    <n v="244884129491.198"/>
    <n v="1"/>
  </r>
  <r>
    <n v="501"/>
    <d v="1994-07-02T00:00:00"/>
    <x v="3"/>
    <x v="9"/>
    <s v="Switzerland"/>
    <n v="3"/>
    <n v="0"/>
    <s v="FIFA World Cup"/>
    <s v="Washington, D.C."/>
    <s v="United States"/>
    <b v="1"/>
    <n v="1994"/>
    <n v="530183651720.28302"/>
    <n v="301375055202.164"/>
    <n v="1"/>
  </r>
  <r>
    <n v="502"/>
    <d v="1994-07-03T00:00:00"/>
    <x v="3"/>
    <x v="34"/>
    <s v="Argentina"/>
    <n v="3"/>
    <n v="2"/>
    <s v="FIFA World Cup"/>
    <s v="Pasadena"/>
    <s v="United States"/>
    <b v="1"/>
    <n v="1994"/>
    <n v="30072805104.2542"/>
    <n v="257440000000"/>
    <n v="-1"/>
  </r>
  <r>
    <n v="503"/>
    <d v="1994-07-03T00:00:00"/>
    <x v="3"/>
    <x v="35"/>
    <s v="Sweden"/>
    <n v="1"/>
    <n v="3"/>
    <s v="FIFA World Cup"/>
    <s v="Dallas"/>
    <s v="United States"/>
    <b v="1"/>
    <n v="1994"/>
    <n v="135174899866.489"/>
    <n v="228699066874.02802"/>
    <n v="1"/>
  </r>
  <r>
    <n v="505"/>
    <d v="1994-07-04T00:00:00"/>
    <x v="3"/>
    <x v="29"/>
    <s v="Brazil"/>
    <n v="0"/>
    <n v="1"/>
    <s v="FIFA World Cup"/>
    <s v="Palo Alto"/>
    <s v="United States"/>
    <b v="0"/>
    <n v="1994"/>
    <n v="7287236000000"/>
    <n v="525369851353.742"/>
    <n v="-1"/>
  </r>
  <r>
    <n v="506"/>
    <d v="1994-07-05T00:00:00"/>
    <x v="3"/>
    <x v="5"/>
    <s v="Bulgaria"/>
    <n v="1"/>
    <n v="1"/>
    <s v="FIFA World Cup"/>
    <s v="East Rutherford"/>
    <s v="United States"/>
    <b v="1"/>
    <n v="1994"/>
    <n v="553618247900.73999"/>
    <n v="9709240033.9897308"/>
    <n v="0"/>
  </r>
  <r>
    <n v="507"/>
    <d v="1994-07-05T00:00:00"/>
    <x v="3"/>
    <x v="33"/>
    <s v="Italy"/>
    <n v="1"/>
    <n v="2"/>
    <s v="FIFA World Cup"/>
    <s v="Foxborough"/>
    <s v="United States"/>
    <b v="1"/>
    <n v="1994"/>
    <n v="80399613063.636398"/>
    <n v="1101750159702.21"/>
    <n v="1"/>
  </r>
  <r>
    <n v="508"/>
    <d v="1994-07-09T00:00:00"/>
    <x v="3"/>
    <x v="6"/>
    <s v="Spain"/>
    <n v="2"/>
    <n v="1"/>
    <s v="FIFA World Cup"/>
    <s v="Foxborough"/>
    <s v="United States"/>
    <b v="1"/>
    <n v="1994"/>
    <n v="1101750159702.21"/>
    <n v="530183651720.28302"/>
    <n v="1"/>
  </r>
  <r>
    <n v="509"/>
    <d v="1994-07-09T00:00:00"/>
    <x v="3"/>
    <x v="15"/>
    <s v="Brazil"/>
    <n v="2"/>
    <n v="3"/>
    <s v="FIFA World Cup"/>
    <s v="Dallas"/>
    <s v="United States"/>
    <b v="1"/>
    <n v="1994"/>
    <n v="379688232231.505"/>
    <n v="525369851353.742"/>
    <n v="1"/>
  </r>
  <r>
    <n v="510"/>
    <d v="1994-07-10T00:00:00"/>
    <x v="3"/>
    <x v="22"/>
    <s v="Germany"/>
    <n v="2"/>
    <n v="1"/>
    <s v="FIFA World Cup"/>
    <s v="East Rutherford"/>
    <s v="United States"/>
    <b v="1"/>
    <n v="1994"/>
    <n v="9709240033.9897308"/>
    <n v="2215282632276.73"/>
    <n v="-1"/>
  </r>
  <r>
    <n v="511"/>
    <d v="1994-07-10T00:00:00"/>
    <x v="3"/>
    <x v="34"/>
    <s v="Sweden"/>
    <n v="2"/>
    <n v="2"/>
    <s v="FIFA World Cup"/>
    <s v="Palo Alto"/>
    <s v="United States"/>
    <b v="1"/>
    <n v="1994"/>
    <n v="30072805104.2542"/>
    <n v="228699066874.02802"/>
    <n v="0"/>
  </r>
  <r>
    <n v="512"/>
    <d v="1994-07-13T00:00:00"/>
    <x v="3"/>
    <x v="22"/>
    <s v="Italy"/>
    <n v="1"/>
    <n v="2"/>
    <s v="FIFA World Cup"/>
    <s v="East Rutherford"/>
    <s v="United States"/>
    <b v="1"/>
    <n v="1994"/>
    <n v="9709240033.9897308"/>
    <n v="1101750159702.21"/>
    <n v="1"/>
  </r>
  <r>
    <n v="513"/>
    <d v="1994-07-13T00:00:00"/>
    <x v="3"/>
    <x v="13"/>
    <s v="Brazil"/>
    <n v="0"/>
    <n v="1"/>
    <s v="FIFA World Cup"/>
    <s v="Pasadena"/>
    <s v="United States"/>
    <b v="1"/>
    <n v="1994"/>
    <n v="228699066874.02802"/>
    <n v="525369851353.742"/>
    <n v="1"/>
  </r>
  <r>
    <n v="514"/>
    <d v="1994-07-16T00:00:00"/>
    <x v="3"/>
    <x v="13"/>
    <s v="Bulgaria"/>
    <n v="4"/>
    <n v="0"/>
    <s v="FIFA World Cup"/>
    <s v="Pasadena"/>
    <s v="United States"/>
    <b v="1"/>
    <n v="1994"/>
    <n v="228699066874.02802"/>
    <n v="9709240033.9897308"/>
    <n v="1"/>
  </r>
  <r>
    <n v="515"/>
    <d v="1994-07-17T00:00:00"/>
    <x v="3"/>
    <x v="0"/>
    <s v="Italy"/>
    <n v="0"/>
    <n v="0"/>
    <s v="FIFA World Cup"/>
    <s v="Pasadena"/>
    <s v="United States"/>
    <b v="1"/>
    <n v="1994"/>
    <n v="525369851353.742"/>
    <n v="1101750159702.21"/>
    <n v="0"/>
  </r>
  <r>
    <n v="517"/>
    <d v="1998-06-10T00:00:00"/>
    <x v="3"/>
    <x v="12"/>
    <s v="Norway"/>
    <n v="2"/>
    <n v="2"/>
    <s v="FIFA World Cup"/>
    <s v="Montpellier"/>
    <s v="France"/>
    <b v="1"/>
    <n v="1998"/>
    <n v="46497608724.986504"/>
    <n v="154230295158.44699"/>
    <n v="0"/>
  </r>
  <r>
    <n v="518"/>
    <d v="1998-06-11T00:00:00"/>
    <x v="3"/>
    <x v="30"/>
    <s v="Austria"/>
    <n v="1"/>
    <n v="1"/>
    <s v="FIFA World Cup"/>
    <s v="Toulouse"/>
    <s v="France"/>
    <b v="1"/>
    <n v="1998"/>
    <n v="11298144990.4104"/>
    <n v="217068085815.918"/>
    <n v="0"/>
  </r>
  <r>
    <n v="519"/>
    <d v="1998-06-11T00:00:00"/>
    <x v="3"/>
    <x v="6"/>
    <s v="Chile"/>
    <n v="2"/>
    <n v="2"/>
    <s v="FIFA World Cup"/>
    <s v="Bordeaux"/>
    <s v="France"/>
    <b v="1"/>
    <n v="1998"/>
    <n v="1272729786996.77"/>
    <n v="81990010704.060196"/>
    <n v="0"/>
  </r>
  <r>
    <n v="520"/>
    <d v="1998-06-12T00:00:00"/>
    <x v="3"/>
    <x v="8"/>
    <s v="South Africa"/>
    <n v="3"/>
    <n v="0"/>
    <s v="FIFA World Cup"/>
    <s v="Marseille"/>
    <s v="France"/>
    <b v="0"/>
    <n v="1998"/>
    <n v="1496906382032.47"/>
    <n v="152982984557.233"/>
    <n v="1"/>
  </r>
  <r>
    <n v="521"/>
    <d v="1998-06-12T00:00:00"/>
    <x v="3"/>
    <x v="25"/>
    <s v="Bulgaria"/>
    <n v="0"/>
    <n v="0"/>
    <s v="FIFA World Cup"/>
    <s v="Montpellier"/>
    <s v="France"/>
    <b v="1"/>
    <n v="1998"/>
    <n v="9260481572.4246197"/>
    <n v="15031055046.7575"/>
    <n v="0"/>
  </r>
  <r>
    <n v="522"/>
    <d v="1998-06-12T00:00:00"/>
    <x v="3"/>
    <x v="35"/>
    <s v="Denmark"/>
    <n v="0"/>
    <n v="1"/>
    <s v="FIFA World Cup"/>
    <s v="Lens"/>
    <s v="France"/>
    <b v="1"/>
    <n v="1998"/>
    <n v="146775466666.66699"/>
    <n v="176877077513.133"/>
    <n v="1"/>
  </r>
  <r>
    <n v="524"/>
    <d v="1998-06-13T00:00:00"/>
    <x v="3"/>
    <x v="15"/>
    <s v="Belgium"/>
    <n v="0"/>
    <n v="0"/>
    <s v="FIFA World Cup"/>
    <s v="Saint-Denis"/>
    <s v="France"/>
    <b v="1"/>
    <n v="1998"/>
    <n v="438612530548.76703"/>
    <n v="258528339631.02899"/>
    <n v="0"/>
  </r>
  <r>
    <n v="525"/>
    <d v="1998-06-13T00:00:00"/>
    <x v="3"/>
    <x v="9"/>
    <s v="Nigeria"/>
    <n v="2"/>
    <n v="3"/>
    <s v="FIFA World Cup"/>
    <s v="Nantes"/>
    <s v="France"/>
    <b v="1"/>
    <n v="1998"/>
    <n v="618731484575.12"/>
    <n v="218416200672.72699"/>
    <n v="-1"/>
  </r>
  <r>
    <n v="526"/>
    <d v="1998-06-14T00:00:00"/>
    <x v="3"/>
    <x v="4"/>
    <s v="Japan"/>
    <n v="1"/>
    <n v="0"/>
    <s v="FIFA World Cup"/>
    <s v="Toulouse"/>
    <s v="France"/>
    <b v="1"/>
    <n v="1998"/>
    <n v="298948250000"/>
    <n v="4098362709531.2402"/>
    <n v="-1"/>
  </r>
  <r>
    <n v="527"/>
    <d v="1998-06-14T00:00:00"/>
    <x v="3"/>
    <x v="39"/>
    <s v="Croatia"/>
    <n v="1"/>
    <n v="3"/>
    <s v="FIFA World Cup"/>
    <s v="Lens"/>
    <s v="France"/>
    <b v="1"/>
    <n v="1998"/>
    <n v="8787195622.4350204"/>
    <n v="25890228429.721401"/>
    <n v="1"/>
  </r>
  <r>
    <n v="528"/>
    <d v="1998-06-14T00:00:00"/>
    <x v="3"/>
    <x v="40"/>
    <s v="Iran"/>
    <n v="1"/>
    <n v="0"/>
    <s v="FIFA World Cup"/>
    <s v="Saint-Ã‰tienne"/>
    <s v="France"/>
    <b v="1"/>
    <n v="1998"/>
    <n v="21004077441.480202"/>
    <n v="110276913362.508"/>
    <n v="-1"/>
  </r>
  <r>
    <n v="529"/>
    <d v="1998-06-15T00:00:00"/>
    <x v="3"/>
    <x v="7"/>
    <s v="Tunisia"/>
    <n v="2"/>
    <n v="0"/>
    <s v="FIFA World Cup"/>
    <s v="Marseille"/>
    <s v="France"/>
    <b v="1"/>
    <n v="1998"/>
    <n v="1660821464060.95"/>
    <n v="21802893587.125999"/>
    <n v="1"/>
  </r>
  <r>
    <n v="530"/>
    <d v="1998-06-15T00:00:00"/>
    <x v="3"/>
    <x v="3"/>
    <s v="United States"/>
    <n v="2"/>
    <n v="0"/>
    <s v="FIFA World Cup"/>
    <s v="Paris"/>
    <s v="France"/>
    <b v="1"/>
    <n v="1998"/>
    <n v="2247760364565.9702"/>
    <n v="9062818202000"/>
    <n v="-1"/>
  </r>
  <r>
    <n v="531"/>
    <d v="1998-06-15T00:00:00"/>
    <x v="3"/>
    <x v="34"/>
    <s v="Colombia"/>
    <n v="1"/>
    <n v="0"/>
    <s v="FIFA World Cup"/>
    <s v="Lyon"/>
    <s v="France"/>
    <b v="1"/>
    <n v="1998"/>
    <n v="41696091973.707603"/>
    <n v="98443739941.166397"/>
    <n v="-1"/>
  </r>
  <r>
    <n v="532"/>
    <d v="1998-06-16T00:00:00"/>
    <x v="3"/>
    <x v="0"/>
    <s v="Morocco"/>
    <n v="3"/>
    <n v="0"/>
    <s v="FIFA World Cup"/>
    <s v="Nantes"/>
    <s v="France"/>
    <b v="1"/>
    <n v="1998"/>
    <n v="863711007325.49304"/>
    <n v="46497608724.986504"/>
    <n v="1"/>
  </r>
  <r>
    <n v="534"/>
    <d v="1998-06-17T00:00:00"/>
    <x v="3"/>
    <x v="1"/>
    <s v="Austria"/>
    <n v="1"/>
    <n v="1"/>
    <s v="FIFA World Cup"/>
    <s v="Saint-Ã‰tienne"/>
    <s v="France"/>
    <b v="1"/>
    <n v="1998"/>
    <n v="81990010704.060196"/>
    <n v="217068085815.918"/>
    <n v="0"/>
  </r>
  <r>
    <n v="535"/>
    <d v="1998-06-17T00:00:00"/>
    <x v="3"/>
    <x v="6"/>
    <s v="Cameroon"/>
    <n v="3"/>
    <n v="0"/>
    <s v="FIFA World Cup"/>
    <s v="Montpellier"/>
    <s v="France"/>
    <b v="1"/>
    <n v="1998"/>
    <n v="1272729786996.77"/>
    <n v="11298144990.4104"/>
    <n v="1"/>
  </r>
  <r>
    <n v="536"/>
    <d v="1998-06-18T00:00:00"/>
    <x v="3"/>
    <x v="8"/>
    <s v="Saudi Arabia"/>
    <n v="4"/>
    <n v="0"/>
    <s v="FIFA World Cup"/>
    <s v="Saint-Denis"/>
    <s v="France"/>
    <b v="0"/>
    <n v="1998"/>
    <n v="1496906382032.47"/>
    <n v="146775466666.66699"/>
    <n v="1"/>
  </r>
  <r>
    <n v="537"/>
    <d v="1998-06-18T00:00:00"/>
    <x v="3"/>
    <x v="41"/>
    <s v="Denmark"/>
    <n v="1"/>
    <n v="1"/>
    <s v="FIFA World Cup"/>
    <s v="Toulouse"/>
    <s v="France"/>
    <b v="1"/>
    <n v="1998"/>
    <n v="152982984557.233"/>
    <n v="176877077513.133"/>
    <n v="0"/>
  </r>
  <r>
    <n v="538"/>
    <d v="1998-06-19T00:00:00"/>
    <x v="3"/>
    <x v="33"/>
    <s v="Bulgaria"/>
    <n v="1"/>
    <n v="0"/>
    <s v="FIFA World Cup"/>
    <s v="Paris"/>
    <s v="France"/>
    <b v="1"/>
    <n v="1998"/>
    <n v="218416200672.72699"/>
    <n v="15031055046.7575"/>
    <n v="1"/>
  </r>
  <r>
    <n v="539"/>
    <d v="1998-06-19T00:00:00"/>
    <x v="3"/>
    <x v="9"/>
    <s v="Paraguay"/>
    <n v="0"/>
    <n v="0"/>
    <s v="FIFA World Cup"/>
    <s v="Saint-Ã‰tienne"/>
    <s v="France"/>
    <b v="1"/>
    <n v="1998"/>
    <n v="618731484575.12"/>
    <n v="9260481572.4246197"/>
    <n v="0"/>
  </r>
  <r>
    <n v="540"/>
    <d v="1998-06-20T00:00:00"/>
    <x v="3"/>
    <x v="11"/>
    <s v="Mexico"/>
    <n v="2"/>
    <n v="2"/>
    <s v="FIFA World Cup"/>
    <s v="Bordeaux"/>
    <s v="France"/>
    <b v="1"/>
    <n v="1998"/>
    <n v="258528339631.02899"/>
    <n v="557461102630.65796"/>
    <n v="0"/>
  </r>
  <r>
    <n v="541"/>
    <d v="1998-06-20T00:00:00"/>
    <x v="3"/>
    <x v="42"/>
    <s v="Croatia"/>
    <n v="0"/>
    <n v="1"/>
    <s v="FIFA World Cup"/>
    <s v="Nantes"/>
    <s v="France"/>
    <b v="1"/>
    <n v="1998"/>
    <n v="4098362709531.2402"/>
    <n v="25890228429.721401"/>
    <n v="-1"/>
  </r>
  <r>
    <n v="543"/>
    <d v="1998-06-21T00:00:00"/>
    <x v="3"/>
    <x v="4"/>
    <s v="Jamaica"/>
    <n v="5"/>
    <n v="0"/>
    <s v="FIFA World Cup"/>
    <s v="Paris"/>
    <s v="France"/>
    <b v="1"/>
    <n v="1998"/>
    <n v="298948250000"/>
    <n v="8787195622.4350204"/>
    <n v="1"/>
  </r>
  <r>
    <n v="544"/>
    <d v="1998-06-21T00:00:00"/>
    <x v="3"/>
    <x v="3"/>
    <s v="Serbia"/>
    <n v="2"/>
    <n v="2"/>
    <s v="FIFA World Cup"/>
    <s v="Lens"/>
    <s v="France"/>
    <b v="1"/>
    <n v="1998"/>
    <n v="2247760364565.9702"/>
    <n v="21004077441.480202"/>
    <n v="0"/>
  </r>
  <r>
    <n v="545"/>
    <d v="1998-06-21T00:00:00"/>
    <x v="3"/>
    <x v="29"/>
    <s v="Iran"/>
    <n v="1"/>
    <n v="2"/>
    <s v="FIFA World Cup"/>
    <s v="Lyon"/>
    <s v="France"/>
    <b v="1"/>
    <n v="1998"/>
    <n v="9062818202000"/>
    <n v="110276913362.508"/>
    <n v="-1"/>
  </r>
  <r>
    <n v="546"/>
    <d v="1998-06-22T00:00:00"/>
    <x v="3"/>
    <x v="2"/>
    <s v="Tunisia"/>
    <n v="1"/>
    <n v="0"/>
    <s v="FIFA World Cup"/>
    <s v="Montpellier"/>
    <s v="France"/>
    <b v="1"/>
    <n v="1998"/>
    <n v="98443739941.166397"/>
    <n v="21802893587.125999"/>
    <n v="1"/>
  </r>
  <r>
    <n v="547"/>
    <d v="1998-06-22T00:00:00"/>
    <x v="3"/>
    <x v="34"/>
    <s v="England"/>
    <n v="2"/>
    <n v="1"/>
    <s v="FIFA World Cup"/>
    <s v="Toulouse"/>
    <s v="France"/>
    <b v="1"/>
    <n v="1998"/>
    <n v="41696091973.707603"/>
    <n v="1660821464060.95"/>
    <n v="-1"/>
  </r>
  <r>
    <n v="548"/>
    <d v="1998-06-23T00:00:00"/>
    <x v="3"/>
    <x v="0"/>
    <s v="Norway"/>
    <n v="1"/>
    <n v="2"/>
    <s v="FIFA World Cup"/>
    <s v="Marseille"/>
    <s v="France"/>
    <b v="1"/>
    <n v="1998"/>
    <n v="863711007325.49304"/>
    <n v="154230295158.44699"/>
    <n v="-1"/>
  </r>
  <r>
    <n v="549"/>
    <d v="1998-06-23T00:00:00"/>
    <x v="3"/>
    <x v="1"/>
    <s v="Cameroon"/>
    <n v="1"/>
    <n v="1"/>
    <s v="FIFA World Cup"/>
    <s v="Nantes"/>
    <s v="France"/>
    <b v="1"/>
    <n v="1998"/>
    <n v="81990010704.060196"/>
    <n v="11298144990.4104"/>
    <n v="0"/>
  </r>
  <r>
    <n v="550"/>
    <d v="1998-06-23T00:00:00"/>
    <x v="3"/>
    <x v="6"/>
    <s v="Austria"/>
    <n v="2"/>
    <n v="1"/>
    <s v="FIFA World Cup"/>
    <s v="Saint-Denis"/>
    <s v="France"/>
    <b v="1"/>
    <n v="1998"/>
    <n v="1272729786996.77"/>
    <n v="217068085815.918"/>
    <n v="1"/>
  </r>
  <r>
    <n v="552"/>
    <d v="1998-06-24T00:00:00"/>
    <x v="3"/>
    <x v="8"/>
    <s v="Denmark"/>
    <n v="2"/>
    <n v="1"/>
    <s v="FIFA World Cup"/>
    <s v="Lyon"/>
    <s v="France"/>
    <b v="0"/>
    <n v="1998"/>
    <n v="1496906382032.47"/>
    <n v="176877077513.133"/>
    <n v="1"/>
  </r>
  <r>
    <n v="553"/>
    <d v="1998-06-24T00:00:00"/>
    <x v="3"/>
    <x v="33"/>
    <s v="Paraguay"/>
    <n v="1"/>
    <n v="3"/>
    <s v="FIFA World Cup"/>
    <s v="Toulouse"/>
    <s v="France"/>
    <b v="1"/>
    <n v="1998"/>
    <n v="218416200672.72699"/>
    <n v="9260481572.4246197"/>
    <n v="-1"/>
  </r>
  <r>
    <n v="554"/>
    <d v="1998-06-24T00:00:00"/>
    <x v="3"/>
    <x v="41"/>
    <s v="Saudi Arabia"/>
    <n v="2"/>
    <n v="2"/>
    <s v="FIFA World Cup"/>
    <s v="Bordeaux"/>
    <s v="France"/>
    <b v="1"/>
    <n v="1998"/>
    <n v="152982984557.233"/>
    <n v="146775466666.66699"/>
    <n v="0"/>
  </r>
  <r>
    <n v="555"/>
    <d v="1998-06-24T00:00:00"/>
    <x v="3"/>
    <x v="9"/>
    <s v="Bulgaria"/>
    <n v="6"/>
    <n v="1"/>
    <s v="FIFA World Cup"/>
    <s v="Lens"/>
    <s v="France"/>
    <b v="1"/>
    <n v="1998"/>
    <n v="618731484575.12"/>
    <n v="15031055046.7575"/>
    <n v="1"/>
  </r>
  <r>
    <n v="557"/>
    <d v="1998-06-25T00:00:00"/>
    <x v="3"/>
    <x v="3"/>
    <s v="Iran"/>
    <n v="2"/>
    <n v="0"/>
    <s v="FIFA World Cup"/>
    <s v="Montpellier"/>
    <s v="France"/>
    <b v="1"/>
    <n v="1998"/>
    <n v="2247760364565.9702"/>
    <n v="110276913362.508"/>
    <n v="1"/>
  </r>
  <r>
    <n v="558"/>
    <d v="1998-06-25T00:00:00"/>
    <x v="3"/>
    <x v="15"/>
    <s v="Mexico"/>
    <n v="2"/>
    <n v="2"/>
    <s v="FIFA World Cup"/>
    <s v="Saint-Ã‰tienne"/>
    <s v="France"/>
    <b v="1"/>
    <n v="1998"/>
    <n v="438612530548.76703"/>
    <n v="557461102630.65796"/>
    <n v="0"/>
  </r>
  <r>
    <n v="559"/>
    <d v="1998-06-25T00:00:00"/>
    <x v="3"/>
    <x v="29"/>
    <s v="Serbia"/>
    <n v="0"/>
    <n v="1"/>
    <s v="FIFA World Cup"/>
    <s v="Nantes"/>
    <s v="France"/>
    <b v="1"/>
    <n v="1998"/>
    <n v="9062818202000"/>
    <n v="21004077441.480202"/>
    <n v="-1"/>
  </r>
  <r>
    <n v="560"/>
    <d v="1998-06-26T00:00:00"/>
    <x v="3"/>
    <x v="4"/>
    <s v="Croatia"/>
    <n v="1"/>
    <n v="0"/>
    <s v="FIFA World Cup"/>
    <s v="Bordeaux"/>
    <s v="France"/>
    <b v="1"/>
    <n v="1998"/>
    <n v="298948250000"/>
    <n v="25890228429.721401"/>
    <n v="1"/>
  </r>
  <r>
    <n v="561"/>
    <d v="1998-06-26T00:00:00"/>
    <x v="3"/>
    <x v="2"/>
    <s v="England"/>
    <n v="0"/>
    <n v="2"/>
    <s v="FIFA World Cup"/>
    <s v="Lens"/>
    <s v="France"/>
    <b v="1"/>
    <n v="1998"/>
    <n v="98443739941.166397"/>
    <n v="1660821464060.95"/>
    <n v="1"/>
  </r>
  <r>
    <n v="562"/>
    <d v="1998-06-26T00:00:00"/>
    <x v="3"/>
    <x v="42"/>
    <s v="Jamaica"/>
    <n v="1"/>
    <n v="2"/>
    <s v="FIFA World Cup"/>
    <s v="Lyon"/>
    <s v="France"/>
    <b v="1"/>
    <n v="1998"/>
    <n v="4098362709531.2402"/>
    <n v="8787195622.4350204"/>
    <n v="-1"/>
  </r>
  <r>
    <n v="563"/>
    <d v="1998-06-26T00:00:00"/>
    <x v="3"/>
    <x v="34"/>
    <s v="Tunisia"/>
    <n v="1"/>
    <n v="1"/>
    <s v="FIFA World Cup"/>
    <s v="Saint-Denis"/>
    <s v="France"/>
    <b v="1"/>
    <n v="1998"/>
    <n v="41696091973.707603"/>
    <n v="21802893587.125999"/>
    <n v="0"/>
  </r>
  <r>
    <n v="564"/>
    <d v="1998-06-27T00:00:00"/>
    <x v="3"/>
    <x v="0"/>
    <s v="Chile"/>
    <n v="4"/>
    <n v="1"/>
    <s v="FIFA World Cup"/>
    <s v="Paris"/>
    <s v="France"/>
    <b v="1"/>
    <n v="1998"/>
    <n v="863711007325.49304"/>
    <n v="81990010704.060196"/>
    <n v="1"/>
  </r>
  <r>
    <n v="565"/>
    <d v="1998-06-27T00:00:00"/>
    <x v="3"/>
    <x v="6"/>
    <s v="Norway"/>
    <n v="1"/>
    <n v="0"/>
    <s v="FIFA World Cup"/>
    <s v="Marseille"/>
    <s v="France"/>
    <b v="1"/>
    <n v="1998"/>
    <n v="1272729786996.77"/>
    <n v="154230295158.44699"/>
    <n v="1"/>
  </r>
  <r>
    <n v="566"/>
    <d v="1998-06-28T00:00:00"/>
    <x v="3"/>
    <x v="8"/>
    <s v="Paraguay"/>
    <n v="1"/>
    <n v="0"/>
    <s v="FIFA World Cup"/>
    <s v="Lens"/>
    <s v="France"/>
    <b v="0"/>
    <n v="1998"/>
    <n v="1496906382032.47"/>
    <n v="9260481572.4246197"/>
    <n v="1"/>
  </r>
  <r>
    <n v="567"/>
    <d v="1998-06-28T00:00:00"/>
    <x v="3"/>
    <x v="33"/>
    <s v="Denmark"/>
    <n v="1"/>
    <n v="4"/>
    <s v="FIFA World Cup"/>
    <s v="Saint-Denis"/>
    <s v="France"/>
    <b v="1"/>
    <n v="1998"/>
    <n v="218416200672.72699"/>
    <n v="176877077513.133"/>
    <n v="-1"/>
  </r>
  <r>
    <n v="568"/>
    <d v="1998-06-29T00:00:00"/>
    <x v="3"/>
    <x v="3"/>
    <s v="Mexico"/>
    <n v="2"/>
    <n v="1"/>
    <s v="FIFA World Cup"/>
    <s v="Montpellier"/>
    <s v="France"/>
    <b v="1"/>
    <n v="1998"/>
    <n v="2247760364565.9702"/>
    <n v="557461102630.65796"/>
    <n v="1"/>
  </r>
  <r>
    <n v="569"/>
    <d v="1998-06-29T00:00:00"/>
    <x v="3"/>
    <x v="15"/>
    <s v="Serbia"/>
    <n v="2"/>
    <n v="1"/>
    <s v="FIFA World Cup"/>
    <s v="Toulouse"/>
    <s v="France"/>
    <b v="1"/>
    <n v="1998"/>
    <n v="438612530548.76703"/>
    <n v="21004077441.480202"/>
    <n v="1"/>
  </r>
  <r>
    <n v="570"/>
    <d v="1998-06-30T00:00:00"/>
    <x v="3"/>
    <x v="4"/>
    <s v="England"/>
    <n v="2"/>
    <n v="2"/>
    <s v="FIFA World Cup"/>
    <s v="Saint-Ã‰tienne"/>
    <s v="France"/>
    <b v="1"/>
    <n v="1998"/>
    <n v="298948250000"/>
    <n v="1660821464060.95"/>
    <n v="0"/>
  </r>
  <r>
    <n v="571"/>
    <d v="1998-06-30T00:00:00"/>
    <x v="3"/>
    <x v="34"/>
    <s v="Croatia"/>
    <n v="0"/>
    <n v="1"/>
    <s v="FIFA World Cup"/>
    <s v="Bordeaux"/>
    <s v="France"/>
    <b v="1"/>
    <n v="1998"/>
    <n v="41696091973.707603"/>
    <n v="25890228429.721401"/>
    <n v="-1"/>
  </r>
  <r>
    <n v="572"/>
    <d v="1998-07-03T00:00:00"/>
    <x v="3"/>
    <x v="0"/>
    <s v="Denmark"/>
    <n v="3"/>
    <n v="2"/>
    <s v="FIFA World Cup"/>
    <s v="Nantes"/>
    <s v="France"/>
    <b v="1"/>
    <n v="1998"/>
    <n v="863711007325.49304"/>
    <n v="176877077513.133"/>
    <n v="1"/>
  </r>
  <r>
    <n v="573"/>
    <d v="1998-07-03T00:00:00"/>
    <x v="3"/>
    <x v="8"/>
    <s v="Italy"/>
    <n v="0"/>
    <n v="0"/>
    <s v="FIFA World Cup"/>
    <s v="Saint-Denis"/>
    <s v="France"/>
    <b v="0"/>
    <n v="1998"/>
    <n v="1496906382032.47"/>
    <n v="1272729786996.77"/>
    <n v="0"/>
  </r>
  <r>
    <n v="574"/>
    <d v="1998-07-04T00:00:00"/>
    <x v="3"/>
    <x v="3"/>
    <s v="Croatia"/>
    <n v="0"/>
    <n v="3"/>
    <s v="FIFA World Cup"/>
    <s v="Lyon"/>
    <s v="France"/>
    <b v="1"/>
    <n v="1998"/>
    <n v="2247760364565.9702"/>
    <n v="25890228429.721401"/>
    <n v="-1"/>
  </r>
  <r>
    <n v="575"/>
    <d v="1998-07-04T00:00:00"/>
    <x v="3"/>
    <x v="15"/>
    <s v="Argentina"/>
    <n v="2"/>
    <n v="1"/>
    <s v="FIFA World Cup"/>
    <s v="Marseille"/>
    <s v="France"/>
    <b v="1"/>
    <n v="1998"/>
    <n v="438612530548.76703"/>
    <n v="298948250000"/>
    <n v="1"/>
  </r>
  <r>
    <n v="576"/>
    <d v="1998-07-07T00:00:00"/>
    <x v="3"/>
    <x v="0"/>
    <s v="Netherlands"/>
    <n v="1"/>
    <n v="1"/>
    <s v="FIFA World Cup"/>
    <s v="Marseille"/>
    <s v="France"/>
    <b v="1"/>
    <n v="1998"/>
    <n v="863711007325.49304"/>
    <n v="438612530548.76703"/>
    <n v="0"/>
  </r>
  <r>
    <n v="577"/>
    <d v="1998-07-08T00:00:00"/>
    <x v="3"/>
    <x v="8"/>
    <s v="Croatia"/>
    <n v="2"/>
    <n v="1"/>
    <s v="FIFA World Cup"/>
    <s v="Saint-Denis"/>
    <s v="France"/>
    <b v="0"/>
    <n v="1998"/>
    <n v="1496906382032.47"/>
    <n v="25890228429.721401"/>
    <n v="1"/>
  </r>
  <r>
    <n v="578"/>
    <d v="1998-07-11T00:00:00"/>
    <x v="3"/>
    <x v="15"/>
    <s v="Croatia"/>
    <n v="1"/>
    <n v="2"/>
    <s v="FIFA World Cup"/>
    <s v="Paris"/>
    <s v="France"/>
    <b v="1"/>
    <n v="1998"/>
    <n v="438612530548.76703"/>
    <n v="25890228429.721401"/>
    <n v="-1"/>
  </r>
  <r>
    <n v="579"/>
    <d v="1998-07-12T00:00:00"/>
    <x v="3"/>
    <x v="8"/>
    <s v="Brazil"/>
    <n v="3"/>
    <n v="0"/>
    <s v="FIFA World Cup"/>
    <s v="Saint-Denis"/>
    <s v="France"/>
    <b v="0"/>
    <n v="1998"/>
    <n v="1496906382032.47"/>
    <n v="863711007325.49304"/>
    <n v="1"/>
  </r>
  <r>
    <n v="580"/>
    <d v="2002-05-31T00:00:00"/>
    <x v="4"/>
    <x v="8"/>
    <s v="Senegal"/>
    <n v="0"/>
    <n v="1"/>
    <s v="FIFA World Cup"/>
    <s v="Seoul"/>
    <s v="South Korea"/>
    <b v="1"/>
    <n v="2002"/>
    <n v="1492427756382.4299"/>
    <n v="7006402319.7585602"/>
    <n v="-1"/>
  </r>
  <r>
    <n v="581"/>
    <d v="2002-06-01T00:00:00"/>
    <x v="4"/>
    <x v="3"/>
    <s v="Saudi Arabia"/>
    <n v="8"/>
    <n v="0"/>
    <s v="FIFA World Cup"/>
    <s v="Sapporo"/>
    <s v="Japan"/>
    <b v="1"/>
    <n v="2002"/>
    <n v="2102350798305.8899"/>
    <n v="189605866666.66699"/>
    <n v="1"/>
  </r>
  <r>
    <n v="583"/>
    <d v="2002-06-01T00:00:00"/>
    <x v="4"/>
    <x v="14"/>
    <s v="Denmark"/>
    <n v="1"/>
    <n v="2"/>
    <s v="FIFA World Cup"/>
    <s v="Ulsan"/>
    <s v="South Korea"/>
    <b v="1"/>
    <n v="2002"/>
    <n v="13606515722.586399"/>
    <n v="178788209558.311"/>
    <n v="1"/>
  </r>
  <r>
    <n v="584"/>
    <d v="2002-06-02T00:00:00"/>
    <x v="4"/>
    <x v="4"/>
    <s v="Nigeria"/>
    <n v="1"/>
    <n v="0"/>
    <s v="FIFA World Cup"/>
    <s v="Kashima"/>
    <s v="Japan"/>
    <b v="1"/>
    <n v="2002"/>
    <n v="97724004251.860199"/>
    <n v="95054059302.699493"/>
    <n v="1"/>
  </r>
  <r>
    <n v="585"/>
    <d v="2002-06-02T00:00:00"/>
    <x v="4"/>
    <x v="7"/>
    <s v="Sweden"/>
    <n v="1"/>
    <n v="1"/>
    <s v="FIFA World Cup"/>
    <s v="Saitama"/>
    <s v="Japan"/>
    <b v="1"/>
    <n v="2002"/>
    <n v="1790536570743.4099"/>
    <n v="267371907446.776"/>
    <n v="0"/>
  </r>
  <r>
    <n v="586"/>
    <d v="2002-06-02T00:00:00"/>
    <x v="4"/>
    <x v="25"/>
    <s v="South Africa"/>
    <n v="2"/>
    <n v="2"/>
    <s v="FIFA World Cup"/>
    <s v="Busan"/>
    <s v="South Korea"/>
    <b v="1"/>
    <n v="2002"/>
    <n v="7196260656.8455601"/>
    <n v="129087556612.44901"/>
    <n v="0"/>
  </r>
  <r>
    <n v="587"/>
    <d v="2002-06-02T00:00:00"/>
    <x v="4"/>
    <x v="9"/>
    <s v="Slovenia"/>
    <n v="3"/>
    <n v="1"/>
    <s v="FIFA World Cup"/>
    <s v="Gwangju"/>
    <s v="South Korea"/>
    <b v="1"/>
    <n v="2002"/>
    <n v="708938227243.92297"/>
    <n v="23214593516.209499"/>
    <n v="1"/>
  </r>
  <r>
    <n v="589"/>
    <d v="2002-06-03T00:00:00"/>
    <x v="4"/>
    <x v="43"/>
    <s v="Mexico"/>
    <n v="0"/>
    <n v="1"/>
    <s v="FIFA World Cup"/>
    <s v="Niigata"/>
    <s v="Japan"/>
    <b v="1"/>
    <n v="2002"/>
    <n v="26757722428.678101"/>
    <n v="810666116401.91504"/>
    <n v="1"/>
  </r>
  <r>
    <n v="590"/>
    <d v="2002-06-03T00:00:00"/>
    <x v="4"/>
    <x v="6"/>
    <s v="Ecuador"/>
    <n v="2"/>
    <n v="0"/>
    <s v="FIFA World Cup"/>
    <s v="Sapporo"/>
    <s v="Japan"/>
    <b v="1"/>
    <n v="2002"/>
    <n v="1281746271196.04"/>
    <n v="27054197000"/>
    <n v="1"/>
  </r>
  <r>
    <n v="591"/>
    <d v="2002-06-04T00:00:00"/>
    <x v="4"/>
    <x v="44"/>
    <s v="Costa Rica"/>
    <n v="0"/>
    <n v="2"/>
    <s v="FIFA World Cup"/>
    <s v="Gwangju"/>
    <s v="South Korea"/>
    <b v="1"/>
    <n v="2002"/>
    <n v="1489821682050.54"/>
    <n v="16578820687.288099"/>
    <n v="-1"/>
  </r>
  <r>
    <n v="592"/>
    <d v="2002-06-04T00:00:00"/>
    <x v="4"/>
    <x v="42"/>
    <s v="Belgium"/>
    <n v="2"/>
    <n v="2"/>
    <s v="FIFA World Cup"/>
    <s v="Saitama"/>
    <s v="Japan"/>
    <b v="0"/>
    <n v="2002"/>
    <n v="4182846045873.6099"/>
    <n v="258383599375.177"/>
    <n v="0"/>
  </r>
  <r>
    <n v="596"/>
    <d v="2002-06-05T00:00:00"/>
    <x v="4"/>
    <x v="29"/>
    <s v="Portugal"/>
    <n v="3"/>
    <n v="2"/>
    <s v="FIFA World Cup"/>
    <s v="Suwon"/>
    <s v="South Korea"/>
    <b v="1"/>
    <n v="2002"/>
    <n v="10929112955000"/>
    <n v="134795565549.41901"/>
    <n v="1"/>
  </r>
  <r>
    <n v="597"/>
    <d v="2002-06-06T00:00:00"/>
    <x v="4"/>
    <x v="30"/>
    <s v="Saudi Arabia"/>
    <n v="1"/>
    <n v="0"/>
    <s v="FIFA World Cup"/>
    <s v="Saitama"/>
    <s v="Japan"/>
    <b v="1"/>
    <n v="2002"/>
    <n v="12417251350.488199"/>
    <n v="189605866666.66699"/>
    <n v="-1"/>
  </r>
  <r>
    <n v="598"/>
    <d v="2002-06-06T00:00:00"/>
    <x v="4"/>
    <x v="26"/>
    <s v="Senegal"/>
    <n v="1"/>
    <n v="1"/>
    <s v="FIFA World Cup"/>
    <s v="Daegu"/>
    <s v="South Korea"/>
    <b v="1"/>
    <n v="2002"/>
    <n v="178788209558.311"/>
    <n v="7006402319.7585602"/>
    <n v="0"/>
  </r>
  <r>
    <n v="599"/>
    <d v="2002-06-06T00:00:00"/>
    <x v="4"/>
    <x v="8"/>
    <s v="Uruguay"/>
    <n v="0"/>
    <n v="0"/>
    <s v="FIFA World Cup"/>
    <s v="Busan"/>
    <s v="South Korea"/>
    <b v="1"/>
    <n v="2002"/>
    <n v="1492427756382.4299"/>
    <n v="13606515722.586399"/>
    <n v="0"/>
  </r>
  <r>
    <n v="600"/>
    <d v="2002-06-07T00:00:00"/>
    <x v="4"/>
    <x v="4"/>
    <s v="England"/>
    <n v="0"/>
    <n v="1"/>
    <s v="FIFA World Cup"/>
    <s v="Sapporo"/>
    <s v="Japan"/>
    <b v="1"/>
    <n v="2002"/>
    <n v="97724004251.860199"/>
    <n v="1790536570743.4099"/>
    <n v="1"/>
  </r>
  <r>
    <n v="601"/>
    <d v="2002-06-07T00:00:00"/>
    <x v="4"/>
    <x v="9"/>
    <s v="Paraguay"/>
    <n v="3"/>
    <n v="1"/>
    <s v="FIFA World Cup"/>
    <s v="Jeonju"/>
    <s v="South Korea"/>
    <b v="1"/>
    <n v="2002"/>
    <n v="708938227243.92297"/>
    <n v="7196260656.8455601"/>
    <n v="1"/>
  </r>
  <r>
    <n v="602"/>
    <d v="2002-06-07T00:00:00"/>
    <x v="4"/>
    <x v="13"/>
    <s v="Nigeria"/>
    <n v="2"/>
    <n v="1"/>
    <s v="FIFA World Cup"/>
    <s v="Kobe"/>
    <s v="Japan"/>
    <b v="1"/>
    <n v="2002"/>
    <n v="267371907446.776"/>
    <n v="95054059302.699493"/>
    <n v="1"/>
  </r>
  <r>
    <n v="603"/>
    <d v="2002-06-08T00:00:00"/>
    <x v="4"/>
    <x v="0"/>
    <s v="China"/>
    <n v="4"/>
    <n v="0"/>
    <s v="FIFA World Cup"/>
    <s v="Seogwipo"/>
    <s v="South Korea"/>
    <b v="1"/>
    <n v="2002"/>
    <n v="509795270685.19"/>
    <n v="1489821682050.54"/>
    <n v="-1"/>
  </r>
  <r>
    <n v="604"/>
    <d v="2002-06-08T00:00:00"/>
    <x v="4"/>
    <x v="6"/>
    <s v="Croatia"/>
    <n v="1"/>
    <n v="2"/>
    <s v="FIFA World Cup"/>
    <s v="Kashima"/>
    <s v="Japan"/>
    <b v="1"/>
    <n v="2002"/>
    <n v="1281746271196.04"/>
    <n v="26757722428.678101"/>
    <n v="-1"/>
  </r>
  <r>
    <n v="605"/>
    <d v="2002-06-08T00:00:00"/>
    <x v="4"/>
    <x v="41"/>
    <s v="Slovenia"/>
    <n v="1"/>
    <n v="0"/>
    <s v="FIFA World Cup"/>
    <s v="Daegu"/>
    <s v="South Korea"/>
    <b v="1"/>
    <n v="2002"/>
    <n v="129087556612.44901"/>
    <n v="23214593516.209499"/>
    <n v="1"/>
  </r>
  <r>
    <n v="608"/>
    <d v="2002-06-09T00:00:00"/>
    <x v="4"/>
    <x v="5"/>
    <s v="Ecuador"/>
    <n v="2"/>
    <n v="1"/>
    <s v="FIFA World Cup"/>
    <s v="Rifu"/>
    <s v="Japan"/>
    <b v="1"/>
    <n v="2002"/>
    <n v="810666116401.91504"/>
    <n v="27054197000"/>
    <n v="1"/>
  </r>
  <r>
    <n v="610"/>
    <d v="2002-06-10T00:00:00"/>
    <x v="4"/>
    <x v="24"/>
    <s v="Poland"/>
    <n v="4"/>
    <n v="0"/>
    <s v="FIFA World Cup"/>
    <s v="Jeonju"/>
    <s v="South Korea"/>
    <b v="1"/>
    <n v="2002"/>
    <n v="134795565549.41901"/>
    <n v="199694463255.56699"/>
    <n v="-1"/>
  </r>
  <r>
    <n v="611"/>
    <d v="2002-06-10T00:00:00"/>
    <x v="4"/>
    <x v="45"/>
    <s v="Belgium"/>
    <n v="1"/>
    <n v="1"/>
    <s v="FIFA World Cup"/>
    <s v="ÅŒita"/>
    <s v="Japan"/>
    <b v="1"/>
    <n v="2002"/>
    <n v="23141616604.5242"/>
    <n v="258383599375.177"/>
    <n v="0"/>
  </r>
  <r>
    <n v="612"/>
    <d v="2002-06-11T00:00:00"/>
    <x v="4"/>
    <x v="30"/>
    <s v="Germany"/>
    <n v="0"/>
    <n v="2"/>
    <s v="FIFA World Cup"/>
    <s v="Fukuroi"/>
    <s v="Japan"/>
    <b v="1"/>
    <n v="2002"/>
    <n v="12417251350.488199"/>
    <n v="2102350798305.8899"/>
    <n v="1"/>
  </r>
  <r>
    <n v="613"/>
    <d v="2002-06-11T00:00:00"/>
    <x v="4"/>
    <x v="26"/>
    <s v="France"/>
    <n v="2"/>
    <n v="0"/>
    <s v="FIFA World Cup"/>
    <s v="Incheon"/>
    <s v="South Korea"/>
    <b v="1"/>
    <n v="2002"/>
    <n v="178788209558.311"/>
    <n v="1492427756382.4299"/>
    <n v="-1"/>
  </r>
  <r>
    <n v="615"/>
    <d v="2002-06-11T00:00:00"/>
    <x v="4"/>
    <x v="46"/>
    <s v="Uruguay"/>
    <n v="3"/>
    <n v="3"/>
    <s v="FIFA World Cup"/>
    <s v="Suwon"/>
    <s v="South Korea"/>
    <b v="1"/>
    <n v="2002"/>
    <n v="7006402319.7585602"/>
    <n v="13606515722.586399"/>
    <n v="0"/>
  </r>
  <r>
    <n v="616"/>
    <d v="2002-06-12T00:00:00"/>
    <x v="4"/>
    <x v="33"/>
    <s v="England"/>
    <n v="0"/>
    <n v="0"/>
    <s v="FIFA World Cup"/>
    <s v="Osaka"/>
    <s v="Japan"/>
    <b v="1"/>
    <n v="2002"/>
    <n v="95054059302.699493"/>
    <n v="1790536570743.4099"/>
    <n v="0"/>
  </r>
  <r>
    <n v="617"/>
    <d v="2002-06-12T00:00:00"/>
    <x v="4"/>
    <x v="47"/>
    <s v="Paraguay"/>
    <n v="1"/>
    <n v="3"/>
    <s v="FIFA World Cup"/>
    <s v="Seogwipo"/>
    <s v="South Korea"/>
    <b v="1"/>
    <n v="2002"/>
    <n v="23214593516.209499"/>
    <n v="7196260656.8455601"/>
    <n v="-1"/>
  </r>
  <r>
    <n v="618"/>
    <d v="2002-06-12T00:00:00"/>
    <x v="4"/>
    <x v="41"/>
    <s v="Spain"/>
    <n v="2"/>
    <n v="3"/>
    <s v="FIFA World Cup"/>
    <s v="Daejeon"/>
    <s v="South Korea"/>
    <b v="1"/>
    <n v="2002"/>
    <n v="129087556612.44901"/>
    <n v="708938227243.92297"/>
    <n v="1"/>
  </r>
  <r>
    <n v="619"/>
    <d v="2002-06-12T00:00:00"/>
    <x v="4"/>
    <x v="13"/>
    <s v="Argentina"/>
    <n v="1"/>
    <n v="1"/>
    <s v="FIFA World Cup"/>
    <s v="Rifu"/>
    <s v="Japan"/>
    <b v="1"/>
    <n v="2002"/>
    <n v="267371907446.776"/>
    <n v="97724004251.860199"/>
    <n v="0"/>
  </r>
  <r>
    <n v="620"/>
    <d v="2002-06-13T00:00:00"/>
    <x v="4"/>
    <x v="48"/>
    <s v="Brazil"/>
    <n v="2"/>
    <n v="5"/>
    <s v="FIFA World Cup"/>
    <s v="Suwon"/>
    <s v="South Korea"/>
    <b v="1"/>
    <n v="2002"/>
    <n v="16578820687.288099"/>
    <n v="509795270685.19"/>
    <n v="1"/>
  </r>
  <r>
    <n v="621"/>
    <d v="2002-06-13T00:00:00"/>
    <x v="4"/>
    <x v="49"/>
    <s v="Croatia"/>
    <n v="1"/>
    <n v="0"/>
    <s v="FIFA World Cup"/>
    <s v="Yokohama"/>
    <s v="Japan"/>
    <b v="1"/>
    <n v="2002"/>
    <n v="27054197000"/>
    <n v="26757722428.678101"/>
    <n v="1"/>
  </r>
  <r>
    <n v="622"/>
    <d v="2002-06-13T00:00:00"/>
    <x v="4"/>
    <x v="5"/>
    <s v="Italy"/>
    <n v="1"/>
    <n v="1"/>
    <s v="FIFA World Cup"/>
    <s v="ÅŒita"/>
    <s v="Japan"/>
    <b v="1"/>
    <n v="2002"/>
    <n v="810666116401.91504"/>
    <n v="1281746271196.04"/>
    <n v="0"/>
  </r>
  <r>
    <n v="625"/>
    <d v="2002-06-14T00:00:00"/>
    <x v="4"/>
    <x v="42"/>
    <s v="Tunisia"/>
    <n v="2"/>
    <n v="0"/>
    <s v="FIFA World Cup"/>
    <s v="Osaka"/>
    <s v="Japan"/>
    <b v="0"/>
    <n v="2002"/>
    <n v="4182846045873.6099"/>
    <n v="23141616604.5242"/>
    <n v="1"/>
  </r>
  <r>
    <n v="627"/>
    <d v="2002-06-14T00:00:00"/>
    <x v="4"/>
    <x v="50"/>
    <s v="United States"/>
    <n v="3"/>
    <n v="1"/>
    <s v="FIFA World Cup"/>
    <s v="Daejeon"/>
    <s v="South Korea"/>
    <b v="1"/>
    <n v="2002"/>
    <n v="199694463255.56699"/>
    <n v="10929112955000"/>
    <n v="-1"/>
  </r>
  <r>
    <n v="628"/>
    <d v="2002-06-15T00:00:00"/>
    <x v="4"/>
    <x v="26"/>
    <s v="England"/>
    <n v="0"/>
    <n v="3"/>
    <s v="FIFA World Cup"/>
    <s v="Niigata"/>
    <s v="Japan"/>
    <b v="1"/>
    <n v="2002"/>
    <n v="178788209558.311"/>
    <n v="1790536570743.4099"/>
    <n v="1"/>
  </r>
  <r>
    <n v="629"/>
    <d v="2002-06-15T00:00:00"/>
    <x v="4"/>
    <x v="3"/>
    <s v="Paraguay"/>
    <n v="1"/>
    <n v="0"/>
    <s v="FIFA World Cup"/>
    <s v="Seogwipo"/>
    <s v="South Korea"/>
    <b v="1"/>
    <n v="2002"/>
    <n v="2102350798305.8899"/>
    <n v="7196260656.8455601"/>
    <n v="1"/>
  </r>
  <r>
    <n v="631"/>
    <d v="2002-06-16T00:00:00"/>
    <x v="4"/>
    <x v="13"/>
    <s v="Senegal"/>
    <n v="1"/>
    <n v="2"/>
    <s v="FIFA World Cup"/>
    <s v="ÅŒita"/>
    <s v="Japan"/>
    <b v="1"/>
    <n v="2002"/>
    <n v="267371907446.776"/>
    <n v="7006402319.7585602"/>
    <n v="-1"/>
  </r>
  <r>
    <n v="632"/>
    <d v="2002-06-17T00:00:00"/>
    <x v="4"/>
    <x v="0"/>
    <s v="Belgium"/>
    <n v="2"/>
    <n v="0"/>
    <s v="FIFA World Cup"/>
    <s v="Kobe"/>
    <s v="Japan"/>
    <b v="1"/>
    <n v="2002"/>
    <n v="509795270685.19"/>
    <n v="258383599375.177"/>
    <n v="1"/>
  </r>
  <r>
    <n v="633"/>
    <d v="2002-06-17T00:00:00"/>
    <x v="4"/>
    <x v="5"/>
    <s v="United States"/>
    <n v="0"/>
    <n v="2"/>
    <s v="FIFA World Cup"/>
    <s v="Jeonju"/>
    <s v="South Korea"/>
    <b v="1"/>
    <n v="2002"/>
    <n v="810666116401.91504"/>
    <n v="10929112955000"/>
    <n v="1"/>
  </r>
  <r>
    <n v="636"/>
    <d v="2002-06-21T00:00:00"/>
    <x v="4"/>
    <x v="7"/>
    <s v="Brazil"/>
    <n v="1"/>
    <n v="2"/>
    <s v="FIFA World Cup"/>
    <s v="Fukuroi"/>
    <s v="Japan"/>
    <b v="1"/>
    <n v="2002"/>
    <n v="1790536570743.4099"/>
    <n v="509795270685.19"/>
    <n v="-1"/>
  </r>
  <r>
    <n v="637"/>
    <d v="2002-06-21T00:00:00"/>
    <x v="4"/>
    <x v="3"/>
    <s v="United States"/>
    <n v="1"/>
    <n v="0"/>
    <s v="FIFA World Cup"/>
    <s v="Ulsan"/>
    <s v="South Korea"/>
    <b v="1"/>
    <n v="2002"/>
    <n v="2102350798305.8899"/>
    <n v="10929112955000"/>
    <n v="-1"/>
  </r>
  <r>
    <n v="643"/>
    <d v="2002-06-30T00:00:00"/>
    <x v="4"/>
    <x v="3"/>
    <s v="Brazil"/>
    <n v="0"/>
    <n v="2"/>
    <s v="FIFA World Cup"/>
    <s v="Yokohama"/>
    <s v="Japan"/>
    <b v="1"/>
    <n v="2002"/>
    <n v="2102350798305.8899"/>
    <n v="509795270685.19"/>
    <n v="-1"/>
  </r>
  <r>
    <n v="644"/>
    <d v="2006-06-09T00:00:00"/>
    <x v="4"/>
    <x v="3"/>
    <s v="Costa Rica"/>
    <n v="4"/>
    <n v="2"/>
    <s v="FIFA World Cup"/>
    <s v="Munich"/>
    <s v="Germany"/>
    <b v="0"/>
    <n v="2006"/>
    <n v="3046308753670.5801"/>
    <n v="22715540324.3032"/>
    <n v="1"/>
  </r>
  <r>
    <n v="645"/>
    <d v="2006-06-09T00:00:00"/>
    <x v="4"/>
    <x v="50"/>
    <s v="Ecuador"/>
    <n v="0"/>
    <n v="2"/>
    <s v="FIFA World Cup"/>
    <s v="Gelsenkirchen"/>
    <s v="Germany"/>
    <b v="1"/>
    <n v="2006"/>
    <n v="345897630736.17297"/>
    <n v="45690762000"/>
    <n v="-1"/>
  </r>
  <r>
    <n v="647"/>
    <d v="2006-06-10T00:00:00"/>
    <x v="4"/>
    <x v="7"/>
    <s v="Paraguay"/>
    <n v="1"/>
    <n v="0"/>
    <s v="FIFA World Cup"/>
    <s v="Frankfurt am Main"/>
    <s v="Germany"/>
    <b v="1"/>
    <n v="2006"/>
    <n v="2719558417663.29"/>
    <n v="13429430050.261"/>
    <n v="1"/>
  </r>
  <r>
    <n v="648"/>
    <d v="2006-06-10T00:00:00"/>
    <x v="4"/>
    <x v="51"/>
    <s v="Sweden"/>
    <n v="0"/>
    <n v="0"/>
    <s v="FIFA World Cup"/>
    <s v="Dortmund"/>
    <s v="Germany"/>
    <b v="1"/>
    <n v="2006"/>
    <n v="18369361094.388599"/>
    <n v="422528394459.35303"/>
    <n v="0"/>
  </r>
  <r>
    <n v="649"/>
    <d v="2006-06-11T00:00:00"/>
    <x v="4"/>
    <x v="52"/>
    <s v="Portugal"/>
    <n v="0"/>
    <n v="1"/>
    <s v="FIFA World Cup"/>
    <s v="Cologne"/>
    <s v="Germany"/>
    <b v="1"/>
    <n v="2006"/>
    <n v="58653659979.710999"/>
    <n v="208756449275.84799"/>
    <n v="1"/>
  </r>
  <r>
    <n v="650"/>
    <d v="2006-06-11T00:00:00"/>
    <x v="4"/>
    <x v="5"/>
    <s v="Iran"/>
    <n v="3"/>
    <n v="1"/>
    <s v="FIFA World Cup"/>
    <s v="Nuremberg"/>
    <s v="Germany"/>
    <b v="1"/>
    <n v="2006"/>
    <n v="1020265057882.01"/>
    <n v="265602187403.64301"/>
    <n v="1"/>
  </r>
  <r>
    <n v="651"/>
    <d v="2006-06-11T00:00:00"/>
    <x v="4"/>
    <x v="40"/>
    <s v="Netherlands"/>
    <n v="0"/>
    <n v="1"/>
    <s v="FIFA World Cup"/>
    <s v="Leipzig"/>
    <s v="Germany"/>
    <b v="1"/>
    <n v="2006"/>
    <n v="33298057361.741199"/>
    <n v="737593995289.41101"/>
    <n v="1"/>
  </r>
  <r>
    <n v="652"/>
    <d v="2006-06-12T00:00:00"/>
    <x v="4"/>
    <x v="16"/>
    <s v="Japan"/>
    <n v="3"/>
    <n v="1"/>
    <s v="FIFA World Cup"/>
    <s v="Kaiserslautern"/>
    <s v="Germany"/>
    <b v="1"/>
    <n v="2006"/>
    <n v="749708370332.98901"/>
    <n v="4601663122649.9199"/>
    <n v="-1"/>
  </r>
  <r>
    <n v="653"/>
    <d v="2006-06-12T00:00:00"/>
    <x v="4"/>
    <x v="6"/>
    <s v="Ghana"/>
    <n v="2"/>
    <n v="0"/>
    <s v="FIFA World Cup"/>
    <s v="Hanover"/>
    <s v="Germany"/>
    <b v="1"/>
    <n v="2006"/>
    <n v="1958563654385.6399"/>
    <n v="20885037596.696301"/>
    <n v="1"/>
  </r>
  <r>
    <n v="654"/>
    <d v="2006-06-12T00:00:00"/>
    <x v="4"/>
    <x v="29"/>
    <s v="Czechia"/>
    <n v="0"/>
    <n v="3"/>
    <s v="FIFA World Cup"/>
    <s v="Gelsenkirchen"/>
    <s v="Germany"/>
    <b v="1"/>
    <n v="2006"/>
    <n v="13815586948000"/>
    <n v="156236258386.58899"/>
    <n v="-1"/>
  </r>
  <r>
    <n v="655"/>
    <d v="2006-06-13T00:00:00"/>
    <x v="4"/>
    <x v="0"/>
    <s v="Croatia"/>
    <n v="1"/>
    <n v="0"/>
    <s v="FIFA World Cup"/>
    <s v="Berlin"/>
    <s v="Germany"/>
    <b v="1"/>
    <n v="2006"/>
    <n v="1107626711163.23"/>
    <n v="49583544860.075897"/>
    <n v="1"/>
  </r>
  <r>
    <n v="656"/>
    <d v="2006-06-13T00:00:00"/>
    <x v="4"/>
    <x v="8"/>
    <s v="Switzerland"/>
    <n v="0"/>
    <n v="0"/>
    <s v="FIFA World Cup"/>
    <s v="Stuttgart"/>
    <s v="Germany"/>
    <b v="1"/>
    <n v="2006"/>
    <n v="2317861544690.8198"/>
    <n v="441634672196.52301"/>
    <n v="0"/>
  </r>
  <r>
    <n v="658"/>
    <d v="2006-06-14T00:00:00"/>
    <x v="4"/>
    <x v="3"/>
    <s v="Poland"/>
    <n v="1"/>
    <n v="0"/>
    <s v="FIFA World Cup"/>
    <s v="Dortmund"/>
    <s v="Germany"/>
    <b v="0"/>
    <n v="2006"/>
    <n v="3046308753670.5801"/>
    <n v="345897630736.17297"/>
    <n v="1"/>
  </r>
  <r>
    <n v="659"/>
    <d v="2006-06-14T00:00:00"/>
    <x v="4"/>
    <x v="9"/>
    <s v="Ukraine"/>
    <n v="4"/>
    <n v="0"/>
    <s v="FIFA World Cup"/>
    <s v="Leipzig"/>
    <s v="Germany"/>
    <b v="1"/>
    <n v="2006"/>
    <n v="1261846683275.29"/>
    <n v="111884752475.248"/>
    <n v="1"/>
  </r>
  <r>
    <n v="660"/>
    <d v="2006-06-14T00:00:00"/>
    <x v="4"/>
    <x v="45"/>
    <s v="Saudi Arabia"/>
    <n v="2"/>
    <n v="2"/>
    <s v="FIFA World Cup"/>
    <s v="Munich"/>
    <s v="Germany"/>
    <b v="1"/>
    <n v="2006"/>
    <n v="34376664600.589798"/>
    <n v="376900133511.34802"/>
    <n v="0"/>
  </r>
  <r>
    <n v="661"/>
    <d v="2006-06-15T00:00:00"/>
    <x v="4"/>
    <x v="49"/>
    <s v="Costa Rica"/>
    <n v="3"/>
    <n v="0"/>
    <s v="FIFA World Cup"/>
    <s v="Hamburg"/>
    <s v="Germany"/>
    <b v="1"/>
    <n v="2006"/>
    <n v="45690762000"/>
    <n v="22715540324.3032"/>
    <n v="1"/>
  </r>
  <r>
    <n v="662"/>
    <d v="2006-06-15T00:00:00"/>
    <x v="4"/>
    <x v="7"/>
    <s v="Trinidad and Tobago"/>
    <n v="2"/>
    <n v="0"/>
    <s v="FIFA World Cup"/>
    <s v="Nuremberg"/>
    <s v="Germany"/>
    <b v="1"/>
    <n v="2006"/>
    <n v="2719558417663.29"/>
    <n v="18369361094.388599"/>
    <n v="1"/>
  </r>
  <r>
    <n v="663"/>
    <d v="2006-06-15T00:00:00"/>
    <x v="4"/>
    <x v="13"/>
    <s v="Paraguay"/>
    <n v="1"/>
    <n v="0"/>
    <s v="FIFA World Cup"/>
    <s v="Berlin"/>
    <s v="Germany"/>
    <b v="1"/>
    <n v="2006"/>
    <n v="422528394459.35303"/>
    <n v="13429430050.261"/>
    <n v="1"/>
  </r>
  <r>
    <n v="664"/>
    <d v="2006-06-16T00:00:00"/>
    <x v="4"/>
    <x v="4"/>
    <s v="Serbia"/>
    <n v="6"/>
    <n v="0"/>
    <s v="FIFA World Cup"/>
    <s v="Gelsenkirchen"/>
    <s v="Germany"/>
    <b v="1"/>
    <n v="2006"/>
    <n v="232557260817.30801"/>
    <n v="33298057361.741199"/>
    <n v="1"/>
  </r>
  <r>
    <n v="665"/>
    <d v="2006-06-16T00:00:00"/>
    <x v="4"/>
    <x v="5"/>
    <s v="Angola"/>
    <n v="0"/>
    <n v="0"/>
    <s v="FIFA World Cup"/>
    <s v="Hanover"/>
    <s v="Germany"/>
    <b v="1"/>
    <n v="2006"/>
    <n v="1020265057882.01"/>
    <n v="58653659979.710999"/>
    <n v="0"/>
  </r>
  <r>
    <n v="667"/>
    <d v="2006-06-17T00:00:00"/>
    <x v="4"/>
    <x v="31"/>
    <s v="Ghana"/>
    <n v="0"/>
    <n v="2"/>
    <s v="FIFA World Cup"/>
    <s v="Cologne"/>
    <s v="Germany"/>
    <b v="1"/>
    <n v="2006"/>
    <n v="156236258386.58899"/>
    <n v="20885037596.696301"/>
    <n v="-1"/>
  </r>
  <r>
    <n v="668"/>
    <d v="2006-06-17T00:00:00"/>
    <x v="4"/>
    <x v="6"/>
    <s v="United States"/>
    <n v="1"/>
    <n v="1"/>
    <s v="FIFA World Cup"/>
    <s v="Kaiserslautern"/>
    <s v="Germany"/>
    <b v="1"/>
    <n v="2006"/>
    <n v="1958563654385.6399"/>
    <n v="13815586948000"/>
    <n v="0"/>
  </r>
  <r>
    <n v="669"/>
    <d v="2006-06-17T00:00:00"/>
    <x v="4"/>
    <x v="24"/>
    <s v="Iran"/>
    <n v="2"/>
    <n v="0"/>
    <s v="FIFA World Cup"/>
    <s v="Frankfurt am Main"/>
    <s v="Germany"/>
    <b v="1"/>
    <n v="2006"/>
    <n v="208756449275.84799"/>
    <n v="265602187403.64301"/>
    <n v="-1"/>
  </r>
  <r>
    <n v="670"/>
    <d v="2006-06-18T00:00:00"/>
    <x v="4"/>
    <x v="0"/>
    <s v="Australia"/>
    <n v="2"/>
    <n v="0"/>
    <s v="FIFA World Cup"/>
    <s v="Munich"/>
    <s v="Germany"/>
    <b v="1"/>
    <n v="2006"/>
    <n v="1107626711163.23"/>
    <n v="749708370332.98901"/>
    <n v="1"/>
  </r>
  <r>
    <n v="672"/>
    <d v="2006-06-18T00:00:00"/>
    <x v="4"/>
    <x v="42"/>
    <s v="Croatia"/>
    <n v="0"/>
    <n v="0"/>
    <s v="FIFA World Cup"/>
    <s v="Nuremberg"/>
    <s v="Germany"/>
    <b v="1"/>
    <n v="2006"/>
    <n v="4601663122649.9199"/>
    <n v="49583544860.075897"/>
    <n v="0"/>
  </r>
  <r>
    <n v="673"/>
    <d v="2006-06-19T00:00:00"/>
    <x v="4"/>
    <x v="35"/>
    <s v="Ukraine"/>
    <n v="0"/>
    <n v="4"/>
    <s v="FIFA World Cup"/>
    <s v="Hamburg"/>
    <s v="Germany"/>
    <b v="1"/>
    <n v="2006"/>
    <n v="376900133511.34802"/>
    <n v="111884752475.248"/>
    <n v="-1"/>
  </r>
  <r>
    <n v="674"/>
    <d v="2006-06-19T00:00:00"/>
    <x v="4"/>
    <x v="9"/>
    <s v="Tunisia"/>
    <n v="3"/>
    <n v="1"/>
    <s v="FIFA World Cup"/>
    <s v="Stuttgart"/>
    <s v="Germany"/>
    <b v="1"/>
    <n v="2006"/>
    <n v="1261846683275.29"/>
    <n v="34376664600.589798"/>
    <n v="1"/>
  </r>
  <r>
    <n v="675"/>
    <d v="2006-06-19T00:00:00"/>
    <x v="4"/>
    <x v="53"/>
    <s v="Switzerland"/>
    <n v="0"/>
    <n v="2"/>
    <s v="FIFA World Cup"/>
    <s v="Dortmund"/>
    <s v="Germany"/>
    <b v="1"/>
    <n v="2006"/>
    <n v="3320907721.74508"/>
    <n v="441634672196.52301"/>
    <n v="1"/>
  </r>
  <r>
    <n v="676"/>
    <d v="2006-06-20T00:00:00"/>
    <x v="4"/>
    <x v="48"/>
    <s v="Poland"/>
    <n v="1"/>
    <n v="2"/>
    <s v="FIFA World Cup"/>
    <s v="Hanover"/>
    <s v="Germany"/>
    <b v="1"/>
    <n v="2006"/>
    <n v="22715540324.3032"/>
    <n v="345897630736.17297"/>
    <n v="1"/>
  </r>
  <r>
    <n v="677"/>
    <d v="2006-06-20T00:00:00"/>
    <x v="4"/>
    <x v="3"/>
    <s v="Ecuador"/>
    <n v="3"/>
    <n v="0"/>
    <s v="FIFA World Cup"/>
    <s v="Berlin"/>
    <s v="Germany"/>
    <b v="0"/>
    <n v="2006"/>
    <n v="3046308753670.5801"/>
    <n v="45690762000"/>
    <n v="1"/>
  </r>
  <r>
    <n v="678"/>
    <d v="2006-06-20T00:00:00"/>
    <x v="4"/>
    <x v="25"/>
    <s v="Trinidad and Tobago"/>
    <n v="2"/>
    <n v="0"/>
    <s v="FIFA World Cup"/>
    <s v="Kaiserslautern"/>
    <s v="Germany"/>
    <b v="1"/>
    <n v="2006"/>
    <n v="13429430050.261"/>
    <n v="18369361094.388599"/>
    <n v="-1"/>
  </r>
  <r>
    <n v="679"/>
    <d v="2006-06-20T00:00:00"/>
    <x v="4"/>
    <x v="13"/>
    <s v="England"/>
    <n v="2"/>
    <n v="2"/>
    <s v="FIFA World Cup"/>
    <s v="Cologne"/>
    <s v="Germany"/>
    <b v="1"/>
    <n v="2006"/>
    <n v="422528394459.35303"/>
    <n v="2719558417663.29"/>
    <n v="0"/>
  </r>
  <r>
    <n v="680"/>
    <d v="2006-06-21T00:00:00"/>
    <x v="4"/>
    <x v="18"/>
    <s v="Angola"/>
    <n v="1"/>
    <n v="1"/>
    <s v="FIFA World Cup"/>
    <s v="Leipzig"/>
    <s v="Germany"/>
    <b v="1"/>
    <n v="2006"/>
    <n v="265602187403.64301"/>
    <n v="58653659979.710999"/>
    <n v="0"/>
  </r>
  <r>
    <n v="682"/>
    <d v="2006-06-21T00:00:00"/>
    <x v="4"/>
    <x v="15"/>
    <s v="Argentina"/>
    <n v="0"/>
    <n v="0"/>
    <s v="FIFA World Cup"/>
    <s v="Frankfurt am Main"/>
    <s v="Germany"/>
    <b v="1"/>
    <n v="2006"/>
    <n v="737593995289.41101"/>
    <n v="232557260817.30801"/>
    <n v="0"/>
  </r>
  <r>
    <n v="683"/>
    <d v="2006-06-21T00:00:00"/>
    <x v="4"/>
    <x v="24"/>
    <s v="Mexico"/>
    <n v="2"/>
    <n v="1"/>
    <s v="FIFA World Cup"/>
    <s v="Gelsenkirchen"/>
    <s v="Germany"/>
    <b v="1"/>
    <n v="2006"/>
    <n v="208756449275.84799"/>
    <n v="1020265057882.01"/>
    <n v="-1"/>
  </r>
  <r>
    <n v="684"/>
    <d v="2006-06-22T00:00:00"/>
    <x v="4"/>
    <x v="43"/>
    <s v="Australia"/>
    <n v="2"/>
    <n v="2"/>
    <s v="FIFA World Cup"/>
    <s v="Stuttgart"/>
    <s v="Germany"/>
    <b v="1"/>
    <n v="2006"/>
    <n v="49583544860.075897"/>
    <n v="749708370332.98901"/>
    <n v="0"/>
  </r>
  <r>
    <n v="685"/>
    <d v="2006-06-22T00:00:00"/>
    <x v="4"/>
    <x v="31"/>
    <s v="Italy"/>
    <n v="0"/>
    <n v="2"/>
    <s v="FIFA World Cup"/>
    <s v="Hamburg"/>
    <s v="Germany"/>
    <b v="1"/>
    <n v="2006"/>
    <n v="156236258386.58899"/>
    <n v="1958563654385.6399"/>
    <n v="1"/>
  </r>
  <r>
    <n v="686"/>
    <d v="2006-06-22T00:00:00"/>
    <x v="4"/>
    <x v="54"/>
    <s v="United States"/>
    <n v="2"/>
    <n v="1"/>
    <s v="FIFA World Cup"/>
    <s v="Nuremberg"/>
    <s v="Germany"/>
    <b v="1"/>
    <n v="2006"/>
    <n v="20885037596.696301"/>
    <n v="13815586948000"/>
    <n v="-1"/>
  </r>
  <r>
    <n v="687"/>
    <d v="2006-06-22T00:00:00"/>
    <x v="4"/>
    <x v="42"/>
    <s v="Brazil"/>
    <n v="1"/>
    <n v="4"/>
    <s v="FIFA World Cup"/>
    <s v="Dortmund"/>
    <s v="Germany"/>
    <b v="1"/>
    <n v="2006"/>
    <n v="4601663122649.9199"/>
    <n v="1107626711163.23"/>
    <n v="-1"/>
  </r>
  <r>
    <n v="688"/>
    <d v="2006-06-23T00:00:00"/>
    <x v="4"/>
    <x v="35"/>
    <s v="Spain"/>
    <n v="0"/>
    <n v="1"/>
    <s v="FIFA World Cup"/>
    <s v="Kaiserslautern"/>
    <s v="Germany"/>
    <b v="1"/>
    <n v="2006"/>
    <n v="376900133511.34802"/>
    <n v="1261846683275.29"/>
    <n v="1"/>
  </r>
  <r>
    <n v="690"/>
    <d v="2006-06-23T00:00:00"/>
    <x v="4"/>
    <x v="53"/>
    <s v="France"/>
    <n v="0"/>
    <n v="2"/>
    <s v="FIFA World Cup"/>
    <s v="Cologne"/>
    <s v="Germany"/>
    <b v="1"/>
    <n v="2006"/>
    <n v="3320907721.74508"/>
    <n v="2317861544690.8198"/>
    <n v="1"/>
  </r>
  <r>
    <n v="691"/>
    <d v="2006-06-23T00:00:00"/>
    <x v="4"/>
    <x v="55"/>
    <s v="Tunisia"/>
    <n v="1"/>
    <n v="0"/>
    <s v="FIFA World Cup"/>
    <s v="Berlin"/>
    <s v="Germany"/>
    <b v="1"/>
    <n v="2006"/>
    <n v="111884752475.248"/>
    <n v="34376664600.589798"/>
    <n v="1"/>
  </r>
  <r>
    <n v="692"/>
    <d v="2006-06-24T00:00:00"/>
    <x v="4"/>
    <x v="4"/>
    <s v="Mexico"/>
    <n v="2"/>
    <n v="1"/>
    <s v="FIFA World Cup"/>
    <s v="Leipzig"/>
    <s v="Germany"/>
    <b v="1"/>
    <n v="2006"/>
    <n v="232557260817.30801"/>
    <n v="1020265057882.01"/>
    <n v="-1"/>
  </r>
  <r>
    <n v="693"/>
    <d v="2006-06-24T00:00:00"/>
    <x v="4"/>
    <x v="3"/>
    <s v="Sweden"/>
    <n v="2"/>
    <n v="0"/>
    <s v="FIFA World Cup"/>
    <s v="Munich"/>
    <s v="Germany"/>
    <b v="0"/>
    <n v="2006"/>
    <n v="3046308753670.5801"/>
    <n v="422528394459.35303"/>
    <n v="1"/>
  </r>
  <r>
    <n v="694"/>
    <d v="2006-06-25T00:00:00"/>
    <x v="4"/>
    <x v="7"/>
    <s v="Ecuador"/>
    <n v="1"/>
    <n v="0"/>
    <s v="FIFA World Cup"/>
    <s v="Stuttgart"/>
    <s v="Germany"/>
    <b v="1"/>
    <n v="2006"/>
    <n v="2719558417663.29"/>
    <n v="45690762000"/>
    <n v="1"/>
  </r>
  <r>
    <n v="695"/>
    <d v="2006-06-25T00:00:00"/>
    <x v="4"/>
    <x v="24"/>
    <s v="Netherlands"/>
    <n v="1"/>
    <n v="0"/>
    <s v="FIFA World Cup"/>
    <s v="Nuremberg"/>
    <s v="Germany"/>
    <b v="1"/>
    <n v="2006"/>
    <n v="208756449275.84799"/>
    <n v="737593995289.41101"/>
    <n v="-1"/>
  </r>
  <r>
    <n v="696"/>
    <d v="2006-06-26T00:00:00"/>
    <x v="4"/>
    <x v="6"/>
    <s v="Australia"/>
    <n v="1"/>
    <n v="0"/>
    <s v="FIFA World Cup"/>
    <s v="Kaiserslautern"/>
    <s v="Germany"/>
    <b v="1"/>
    <n v="2006"/>
    <n v="1958563654385.6399"/>
    <n v="749708370332.98901"/>
    <n v="1"/>
  </r>
  <r>
    <n v="697"/>
    <d v="2006-06-26T00:00:00"/>
    <x v="4"/>
    <x v="36"/>
    <s v="Ukraine"/>
    <n v="0"/>
    <n v="0"/>
    <s v="FIFA World Cup"/>
    <s v="Cologne"/>
    <s v="Germany"/>
    <b v="1"/>
    <n v="2006"/>
    <n v="441634672196.52301"/>
    <n v="111884752475.248"/>
    <n v="0"/>
  </r>
  <r>
    <n v="698"/>
    <d v="2006-06-27T00:00:00"/>
    <x v="4"/>
    <x v="0"/>
    <s v="Ghana"/>
    <n v="3"/>
    <n v="0"/>
    <s v="FIFA World Cup"/>
    <s v="Dortmund"/>
    <s v="Germany"/>
    <b v="1"/>
    <n v="2006"/>
    <n v="1107626711163.23"/>
    <n v="20885037596.696301"/>
    <n v="1"/>
  </r>
  <r>
    <n v="699"/>
    <d v="2006-06-27T00:00:00"/>
    <x v="4"/>
    <x v="9"/>
    <s v="France"/>
    <n v="1"/>
    <n v="3"/>
    <s v="FIFA World Cup"/>
    <s v="Hanover"/>
    <s v="Germany"/>
    <b v="1"/>
    <n v="2006"/>
    <n v="1261846683275.29"/>
    <n v="2317861544690.8198"/>
    <n v="1"/>
  </r>
  <r>
    <n v="700"/>
    <d v="2006-06-30T00:00:00"/>
    <x v="4"/>
    <x v="3"/>
    <s v="Argentina"/>
    <n v="1"/>
    <n v="1"/>
    <s v="FIFA World Cup"/>
    <s v="Berlin"/>
    <s v="Germany"/>
    <b v="0"/>
    <n v="2006"/>
    <n v="3046308753670.5801"/>
    <n v="232557260817.30801"/>
    <n v="0"/>
  </r>
  <r>
    <n v="701"/>
    <d v="2006-06-30T00:00:00"/>
    <x v="4"/>
    <x v="6"/>
    <s v="Ukraine"/>
    <n v="3"/>
    <n v="0"/>
    <s v="FIFA World Cup"/>
    <s v="Hamburg"/>
    <s v="Germany"/>
    <b v="1"/>
    <n v="2006"/>
    <n v="1958563654385.6399"/>
    <n v="111884752475.248"/>
    <n v="1"/>
  </r>
  <r>
    <n v="702"/>
    <d v="2006-07-01T00:00:00"/>
    <x v="4"/>
    <x v="0"/>
    <s v="France"/>
    <n v="0"/>
    <n v="1"/>
    <s v="FIFA World Cup"/>
    <s v="Frankfurt am Main"/>
    <s v="Germany"/>
    <b v="1"/>
    <n v="2006"/>
    <n v="1107626711163.23"/>
    <n v="2317861544690.8198"/>
    <n v="1"/>
  </r>
  <r>
    <n v="703"/>
    <d v="2006-07-01T00:00:00"/>
    <x v="4"/>
    <x v="7"/>
    <s v="Portugal"/>
    <n v="0"/>
    <n v="0"/>
    <s v="FIFA World Cup"/>
    <s v="Gelsenkirchen"/>
    <s v="Germany"/>
    <b v="1"/>
    <n v="2006"/>
    <n v="2719558417663.29"/>
    <n v="208756449275.84799"/>
    <n v="0"/>
  </r>
  <r>
    <n v="704"/>
    <d v="2006-07-04T00:00:00"/>
    <x v="4"/>
    <x v="3"/>
    <s v="Italy"/>
    <n v="0"/>
    <n v="2"/>
    <s v="FIFA World Cup"/>
    <s v="Dortmund"/>
    <s v="Germany"/>
    <b v="0"/>
    <n v="2006"/>
    <n v="3046308753670.5801"/>
    <n v="1958563654385.6399"/>
    <n v="-1"/>
  </r>
  <r>
    <n v="705"/>
    <d v="2006-07-05T00:00:00"/>
    <x v="4"/>
    <x v="24"/>
    <s v="France"/>
    <n v="0"/>
    <n v="1"/>
    <s v="FIFA World Cup"/>
    <s v="Munich"/>
    <s v="Germany"/>
    <b v="1"/>
    <n v="2006"/>
    <n v="208756449275.84799"/>
    <n v="2317861544690.8198"/>
    <n v="1"/>
  </r>
  <r>
    <n v="706"/>
    <d v="2006-07-08T00:00:00"/>
    <x v="4"/>
    <x v="3"/>
    <s v="Portugal"/>
    <n v="3"/>
    <n v="1"/>
    <s v="FIFA World Cup"/>
    <s v="Stuttgart"/>
    <s v="Germany"/>
    <b v="0"/>
    <n v="2006"/>
    <n v="3046308753670.5801"/>
    <n v="208756449275.84799"/>
    <n v="1"/>
  </r>
  <r>
    <n v="707"/>
    <d v="2006-07-09T00:00:00"/>
    <x v="4"/>
    <x v="6"/>
    <s v="France"/>
    <n v="1"/>
    <n v="1"/>
    <s v="FIFA World Cup"/>
    <s v="Berlin"/>
    <s v="Germany"/>
    <b v="1"/>
    <n v="2006"/>
    <n v="1958563654385.6399"/>
    <n v="2317861544690.8198"/>
    <n v="0"/>
  </r>
  <r>
    <n v="708"/>
    <d v="2010-06-11T00:00:00"/>
    <x v="5"/>
    <x v="41"/>
    <s v="Mexico"/>
    <n v="1"/>
    <n v="1"/>
    <s v="FIFA World Cup"/>
    <s v="Johannesburg"/>
    <s v="South Africa"/>
    <b v="0"/>
    <n v="2010"/>
    <n v="417363822801.71301"/>
    <n v="1105424238731.0901"/>
    <n v="0"/>
  </r>
  <r>
    <n v="709"/>
    <d v="2010-06-11T00:00:00"/>
    <x v="5"/>
    <x v="14"/>
    <s v="France"/>
    <n v="0"/>
    <n v="0"/>
    <s v="FIFA World Cup"/>
    <s v="Cape Town"/>
    <s v="South Africa"/>
    <b v="1"/>
    <n v="2010"/>
    <n v="41950361211.958099"/>
    <n v="2646230027988.3398"/>
    <n v="0"/>
  </r>
  <r>
    <n v="710"/>
    <d v="2010-06-12T00:00:00"/>
    <x v="5"/>
    <x v="4"/>
    <s v="Nigeria"/>
    <n v="1"/>
    <n v="0"/>
    <s v="FIFA World Cup"/>
    <s v="Johannesburg"/>
    <s v="South Africa"/>
    <b v="1"/>
    <n v="2010"/>
    <n v="423627422092.48999"/>
    <n v="366990417129.03998"/>
    <n v="1"/>
  </r>
  <r>
    <n v="711"/>
    <d v="2010-06-12T00:00:00"/>
    <x v="5"/>
    <x v="7"/>
    <s v="United States"/>
    <n v="1"/>
    <n v="1"/>
    <s v="FIFA World Cup"/>
    <s v="Rustenburg"/>
    <s v="South Africa"/>
    <b v="1"/>
    <n v="2010"/>
    <n v="2496740681057.1401"/>
    <n v="15048964444000"/>
    <n v="0"/>
  </r>
  <r>
    <n v="713"/>
    <d v="2010-06-13T00:00:00"/>
    <x v="5"/>
    <x v="21"/>
    <s v="Slovenia"/>
    <n v="0"/>
    <n v="1"/>
    <s v="FIFA World Cup"/>
    <s v="Polokwane"/>
    <s v="South Africa"/>
    <b v="1"/>
    <n v="2010"/>
    <n v="177785053939.53101"/>
    <n v="47793117240.900101"/>
    <n v="-1"/>
  </r>
  <r>
    <n v="714"/>
    <d v="2010-06-13T00:00:00"/>
    <x v="5"/>
    <x v="3"/>
    <s v="Australia"/>
    <n v="4"/>
    <n v="0"/>
    <s v="FIFA World Cup"/>
    <s v="Durban"/>
    <s v="South Africa"/>
    <b v="1"/>
    <n v="2010"/>
    <n v="3467093769666.6699"/>
    <n v="1152566632022.1299"/>
    <n v="1"/>
  </r>
  <r>
    <n v="715"/>
    <d v="2010-06-13T00:00:00"/>
    <x v="5"/>
    <x v="40"/>
    <s v="Ghana"/>
    <n v="0"/>
    <n v="1"/>
    <s v="FIFA World Cup"/>
    <s v="Pretoria"/>
    <s v="South Africa"/>
    <b v="1"/>
    <n v="2010"/>
    <n v="43536629233.142403"/>
    <n v="32197655566.534698"/>
    <n v="-1"/>
  </r>
  <r>
    <n v="716"/>
    <d v="2010-06-14T00:00:00"/>
    <x v="5"/>
    <x v="6"/>
    <s v="Paraguay"/>
    <n v="1"/>
    <n v="1"/>
    <s v="FIFA World Cup"/>
    <s v="Cape Town"/>
    <s v="South Africa"/>
    <b v="1"/>
    <n v="2010"/>
    <n v="2144936254535"/>
    <n v="27260886405.2341"/>
    <n v="0"/>
  </r>
  <r>
    <n v="717"/>
    <d v="2010-06-14T00:00:00"/>
    <x v="5"/>
    <x v="42"/>
    <s v="Cameroon"/>
    <n v="1"/>
    <n v="0"/>
    <s v="FIFA World Cup"/>
    <s v="Bloemfontein"/>
    <s v="South Africa"/>
    <b v="1"/>
    <n v="2010"/>
    <n v="5759071769013.1104"/>
    <n v="27507501821.029598"/>
    <n v="1"/>
  </r>
  <r>
    <n v="718"/>
    <d v="2010-06-14T00:00:00"/>
    <x v="5"/>
    <x v="15"/>
    <s v="Denmark"/>
    <n v="2"/>
    <n v="0"/>
    <s v="FIFA World Cup"/>
    <s v="Johannesburg"/>
    <s v="South Africa"/>
    <b v="1"/>
    <n v="2010"/>
    <n v="852464982433.33496"/>
    <n v="322345594075.46997"/>
    <n v="1"/>
  </r>
  <r>
    <n v="722"/>
    <d v="2010-06-16T00:00:00"/>
    <x v="5"/>
    <x v="56"/>
    <s v="Chile"/>
    <n v="0"/>
    <n v="1"/>
    <s v="FIFA World Cup"/>
    <s v="Nelspruit"/>
    <s v="South Africa"/>
    <b v="1"/>
    <n v="2010"/>
    <n v="15839344591.9842"/>
    <n v="217051209238.534"/>
    <n v="1"/>
  </r>
  <r>
    <n v="723"/>
    <d v="2010-06-16T00:00:00"/>
    <x v="5"/>
    <x v="41"/>
    <s v="Uruguay"/>
    <n v="0"/>
    <n v="3"/>
    <s v="FIFA World Cup"/>
    <s v="Pretoria"/>
    <s v="South Africa"/>
    <b v="0"/>
    <n v="2010"/>
    <n v="417363822801.71301"/>
    <n v="41950361211.958099"/>
    <n v="-1"/>
  </r>
  <r>
    <n v="724"/>
    <d v="2010-06-16T00:00:00"/>
    <x v="5"/>
    <x v="9"/>
    <s v="Switzerland"/>
    <n v="0"/>
    <n v="1"/>
    <s v="FIFA World Cup"/>
    <s v="Durban"/>
    <s v="South Africa"/>
    <b v="1"/>
    <n v="2010"/>
    <n v="1427989078916.6699"/>
    <n v="598851028906.57996"/>
    <n v="-1"/>
  </r>
  <r>
    <n v="726"/>
    <d v="2010-06-17T00:00:00"/>
    <x v="5"/>
    <x v="8"/>
    <s v="Mexico"/>
    <n v="0"/>
    <n v="2"/>
    <s v="FIFA World Cup"/>
    <s v="Polokwane"/>
    <s v="South Africa"/>
    <b v="1"/>
    <n v="2010"/>
    <n v="2646230027988.3398"/>
    <n v="1105424238731.0901"/>
    <n v="-1"/>
  </r>
  <r>
    <n v="727"/>
    <d v="2010-06-17T00:00:00"/>
    <x v="5"/>
    <x v="38"/>
    <s v="Nigeria"/>
    <n v="2"/>
    <n v="1"/>
    <s v="FIFA World Cup"/>
    <s v="Bloemfontein"/>
    <s v="South Africa"/>
    <b v="1"/>
    <n v="2010"/>
    <n v="296417644404.034"/>
    <n v="366990417129.03998"/>
    <n v="-1"/>
  </r>
  <r>
    <n v="728"/>
    <d v="2010-06-18T00:00:00"/>
    <x v="5"/>
    <x v="7"/>
    <s v="Algeria"/>
    <n v="0"/>
    <n v="0"/>
    <s v="FIFA World Cup"/>
    <s v="Cape Town"/>
    <s v="South Africa"/>
    <b v="1"/>
    <n v="2010"/>
    <n v="2496740681057.1401"/>
    <n v="177785053939.53101"/>
    <n v="0"/>
  </r>
  <r>
    <n v="729"/>
    <d v="2010-06-18T00:00:00"/>
    <x v="5"/>
    <x v="3"/>
    <s v="Serbia"/>
    <n v="0"/>
    <n v="1"/>
    <s v="FIFA World Cup"/>
    <s v="Port Elizabeth"/>
    <s v="South Africa"/>
    <b v="1"/>
    <n v="2010"/>
    <n v="3467093769666.6699"/>
    <n v="43536629233.142403"/>
    <n v="-1"/>
  </r>
  <r>
    <n v="730"/>
    <d v="2010-06-18T00:00:00"/>
    <x v="5"/>
    <x v="47"/>
    <s v="United States"/>
    <n v="2"/>
    <n v="2"/>
    <s v="FIFA World Cup"/>
    <s v="Johannesburg"/>
    <s v="South Africa"/>
    <b v="1"/>
    <n v="2010"/>
    <n v="47793117240.900101"/>
    <n v="15048964444000"/>
    <n v="0"/>
  </r>
  <r>
    <n v="731"/>
    <d v="2010-06-19T00:00:00"/>
    <x v="5"/>
    <x v="30"/>
    <s v="Denmark"/>
    <n v="1"/>
    <n v="2"/>
    <s v="FIFA World Cup"/>
    <s v="Pretoria"/>
    <s v="South Africa"/>
    <b v="1"/>
    <n v="2010"/>
    <n v="27507501821.029598"/>
    <n v="322345594075.46997"/>
    <n v="1"/>
  </r>
  <r>
    <n v="732"/>
    <d v="2010-06-19T00:00:00"/>
    <x v="5"/>
    <x v="54"/>
    <s v="Australia"/>
    <n v="1"/>
    <n v="1"/>
    <s v="FIFA World Cup"/>
    <s v="Rustenburg"/>
    <s v="South Africa"/>
    <b v="1"/>
    <n v="2010"/>
    <n v="32197655566.534698"/>
    <n v="1152566632022.1299"/>
    <n v="0"/>
  </r>
  <r>
    <n v="733"/>
    <d v="2010-06-19T00:00:00"/>
    <x v="5"/>
    <x v="15"/>
    <s v="Japan"/>
    <n v="1"/>
    <n v="0"/>
    <s v="FIFA World Cup"/>
    <s v="Durban"/>
    <s v="South Africa"/>
    <b v="1"/>
    <n v="2010"/>
    <n v="852464982433.33496"/>
    <n v="5759071769013.1104"/>
    <n v="-1"/>
  </r>
  <r>
    <n v="735"/>
    <d v="2010-06-20T00:00:00"/>
    <x v="5"/>
    <x v="6"/>
    <s v="New Zealand"/>
    <n v="1"/>
    <n v="1"/>
    <s v="FIFA World Cup"/>
    <s v="Nelspruit"/>
    <s v="South Africa"/>
    <b v="1"/>
    <n v="2010"/>
    <n v="2144936254535"/>
    <n v="146887902524.052"/>
    <n v="0"/>
  </r>
  <r>
    <n v="737"/>
    <d v="2010-06-21T00:00:00"/>
    <x v="5"/>
    <x v="1"/>
    <s v="Switzerland"/>
    <n v="1"/>
    <n v="0"/>
    <s v="FIFA World Cup"/>
    <s v="Port Elizabeth"/>
    <s v="South Africa"/>
    <b v="1"/>
    <n v="2010"/>
    <n v="217051209238.534"/>
    <n v="598851028906.57996"/>
    <n v="-1"/>
  </r>
  <r>
    <n v="739"/>
    <d v="2010-06-21T00:00:00"/>
    <x v="5"/>
    <x v="9"/>
    <s v="Honduras"/>
    <n v="2"/>
    <n v="0"/>
    <s v="FIFA World Cup"/>
    <s v="Johannesburg"/>
    <s v="South Africa"/>
    <b v="1"/>
    <n v="2010"/>
    <n v="1427989078916.6699"/>
    <n v="15839344591.9842"/>
    <n v="1"/>
  </r>
  <r>
    <n v="740"/>
    <d v="2010-06-22T00:00:00"/>
    <x v="5"/>
    <x v="38"/>
    <s v="Argentina"/>
    <n v="0"/>
    <n v="2"/>
    <s v="FIFA World Cup"/>
    <s v="Polokwane"/>
    <s v="South Africa"/>
    <b v="1"/>
    <n v="2010"/>
    <n v="296417644404.034"/>
    <n v="423627422092.48999"/>
    <n v="1"/>
  </r>
  <r>
    <n v="741"/>
    <d v="2010-06-22T00:00:00"/>
    <x v="5"/>
    <x v="5"/>
    <s v="Uruguay"/>
    <n v="0"/>
    <n v="1"/>
    <s v="FIFA World Cup"/>
    <s v="Rustenburg"/>
    <s v="South Africa"/>
    <b v="1"/>
    <n v="2010"/>
    <n v="1105424238731.0901"/>
    <n v="41950361211.958099"/>
    <n v="-1"/>
  </r>
  <r>
    <n v="743"/>
    <d v="2010-06-22T00:00:00"/>
    <x v="5"/>
    <x v="41"/>
    <s v="France"/>
    <n v="2"/>
    <n v="1"/>
    <s v="FIFA World Cup"/>
    <s v="Bloemfontein"/>
    <s v="South Africa"/>
    <b v="0"/>
    <n v="2010"/>
    <n v="417363822801.71301"/>
    <n v="2646230027988.3398"/>
    <n v="-1"/>
  </r>
  <r>
    <n v="744"/>
    <d v="2010-06-23T00:00:00"/>
    <x v="5"/>
    <x v="16"/>
    <s v="Serbia"/>
    <n v="2"/>
    <n v="1"/>
    <s v="FIFA World Cup"/>
    <s v="Nelspruit"/>
    <s v="South Africa"/>
    <b v="1"/>
    <n v="2010"/>
    <n v="1152566632022.1299"/>
    <n v="43536629233.142403"/>
    <n v="1"/>
  </r>
  <r>
    <n v="745"/>
    <d v="2010-06-23T00:00:00"/>
    <x v="5"/>
    <x v="54"/>
    <s v="Germany"/>
    <n v="0"/>
    <n v="1"/>
    <s v="FIFA World Cup"/>
    <s v="Johannesburg"/>
    <s v="South Africa"/>
    <b v="1"/>
    <n v="2010"/>
    <n v="32197655566.534698"/>
    <n v="3467093769666.6699"/>
    <n v="1"/>
  </r>
  <r>
    <n v="746"/>
    <d v="2010-06-23T00:00:00"/>
    <x v="5"/>
    <x v="47"/>
    <s v="England"/>
    <n v="0"/>
    <n v="1"/>
    <s v="FIFA World Cup"/>
    <s v="Port Elizabeth"/>
    <s v="South Africa"/>
    <b v="1"/>
    <n v="2010"/>
    <n v="47793117240.900101"/>
    <n v="2496740681057.1401"/>
    <n v="1"/>
  </r>
  <r>
    <n v="747"/>
    <d v="2010-06-23T00:00:00"/>
    <x v="5"/>
    <x v="29"/>
    <s v="Algeria"/>
    <n v="1"/>
    <n v="0"/>
    <s v="FIFA World Cup"/>
    <s v="Pretoria"/>
    <s v="South Africa"/>
    <b v="1"/>
    <n v="2010"/>
    <n v="15048964444000"/>
    <n v="177785053939.53101"/>
    <n v="1"/>
  </r>
  <r>
    <n v="748"/>
    <d v="2010-06-24T00:00:00"/>
    <x v="5"/>
    <x v="30"/>
    <s v="Netherlands"/>
    <n v="1"/>
    <n v="2"/>
    <s v="FIFA World Cup"/>
    <s v="Cape Town"/>
    <s v="South Africa"/>
    <b v="1"/>
    <n v="2010"/>
    <n v="27507501821.029598"/>
    <n v="852464982433.33496"/>
    <n v="1"/>
  </r>
  <r>
    <n v="749"/>
    <d v="2010-06-24T00:00:00"/>
    <x v="5"/>
    <x v="26"/>
    <s v="Japan"/>
    <n v="1"/>
    <n v="3"/>
    <s v="FIFA World Cup"/>
    <s v="Rustenburg"/>
    <s v="South Africa"/>
    <b v="1"/>
    <n v="2010"/>
    <n v="322345594075.46997"/>
    <n v="5759071769013.1104"/>
    <n v="1"/>
  </r>
  <r>
    <n v="750"/>
    <d v="2010-06-24T00:00:00"/>
    <x v="5"/>
    <x v="25"/>
    <s v="New Zealand"/>
    <n v="0"/>
    <n v="0"/>
    <s v="FIFA World Cup"/>
    <s v="Polokwane"/>
    <s v="South Africa"/>
    <b v="1"/>
    <n v="2010"/>
    <n v="27260886405.2341"/>
    <n v="146887902524.052"/>
    <n v="0"/>
  </r>
  <r>
    <n v="752"/>
    <d v="2010-06-25T00:00:00"/>
    <x v="5"/>
    <x v="1"/>
    <s v="Spain"/>
    <n v="1"/>
    <n v="2"/>
    <s v="FIFA World Cup"/>
    <s v="Pretoria"/>
    <s v="South Africa"/>
    <b v="1"/>
    <n v="2010"/>
    <n v="217051209238.534"/>
    <n v="1427989078916.6699"/>
    <n v="1"/>
  </r>
  <r>
    <n v="754"/>
    <d v="2010-06-25T00:00:00"/>
    <x v="5"/>
    <x v="24"/>
    <s v="Brazil"/>
    <n v="0"/>
    <n v="0"/>
    <s v="FIFA World Cup"/>
    <s v="Durban"/>
    <s v="South Africa"/>
    <b v="1"/>
    <n v="2010"/>
    <n v="238443864993.21701"/>
    <n v="2208838108484.3501"/>
    <n v="0"/>
  </r>
  <r>
    <n v="755"/>
    <d v="2010-06-25T00:00:00"/>
    <x v="5"/>
    <x v="36"/>
    <s v="Honduras"/>
    <n v="0"/>
    <n v="0"/>
    <s v="FIFA World Cup"/>
    <s v="Bloemfontein"/>
    <s v="South Africa"/>
    <b v="1"/>
    <n v="2010"/>
    <n v="598851028906.57996"/>
    <n v="15839344591.9842"/>
    <n v="0"/>
  </r>
  <r>
    <n v="757"/>
    <d v="2010-06-26T00:00:00"/>
    <x v="5"/>
    <x v="29"/>
    <s v="Ghana"/>
    <n v="1"/>
    <n v="2"/>
    <s v="FIFA World Cup"/>
    <s v="Rustenburg"/>
    <s v="South Africa"/>
    <b v="1"/>
    <n v="2010"/>
    <n v="15048964444000"/>
    <n v="32197655566.534698"/>
    <n v="-1"/>
  </r>
  <r>
    <n v="758"/>
    <d v="2010-06-27T00:00:00"/>
    <x v="5"/>
    <x v="4"/>
    <s v="Mexico"/>
    <n v="3"/>
    <n v="1"/>
    <s v="FIFA World Cup"/>
    <s v="Johannesburg"/>
    <s v="South Africa"/>
    <b v="1"/>
    <n v="2010"/>
    <n v="423627422092.48999"/>
    <n v="1105424238731.0901"/>
    <n v="-1"/>
  </r>
  <r>
    <n v="759"/>
    <d v="2010-06-27T00:00:00"/>
    <x v="5"/>
    <x v="3"/>
    <s v="England"/>
    <n v="4"/>
    <n v="1"/>
    <s v="FIFA World Cup"/>
    <s v="Bloemfontein"/>
    <s v="South Africa"/>
    <b v="1"/>
    <n v="2010"/>
    <n v="3467093769666.6699"/>
    <n v="2496740681057.1401"/>
    <n v="1"/>
  </r>
  <r>
    <n v="760"/>
    <d v="2010-06-28T00:00:00"/>
    <x v="5"/>
    <x v="0"/>
    <s v="Chile"/>
    <n v="3"/>
    <n v="0"/>
    <s v="FIFA World Cup"/>
    <s v="Johannesburg"/>
    <s v="South Africa"/>
    <b v="1"/>
    <n v="2010"/>
    <n v="2208838108484.3501"/>
    <n v="217051209238.534"/>
    <n v="1"/>
  </r>
  <r>
    <n v="762"/>
    <d v="2010-06-29T00:00:00"/>
    <x v="5"/>
    <x v="25"/>
    <s v="Japan"/>
    <n v="0"/>
    <n v="0"/>
    <s v="FIFA World Cup"/>
    <s v="Pretoria"/>
    <s v="South Africa"/>
    <b v="1"/>
    <n v="2010"/>
    <n v="27260886405.2341"/>
    <n v="5759071769013.1104"/>
    <n v="0"/>
  </r>
  <r>
    <n v="763"/>
    <d v="2010-06-29T00:00:00"/>
    <x v="5"/>
    <x v="9"/>
    <s v="Portugal"/>
    <n v="1"/>
    <n v="0"/>
    <s v="FIFA World Cup"/>
    <s v="Cape Town"/>
    <s v="South Africa"/>
    <b v="1"/>
    <n v="2010"/>
    <n v="1427989078916.6699"/>
    <n v="238443864993.21701"/>
    <n v="1"/>
  </r>
  <r>
    <n v="764"/>
    <d v="2010-07-02T00:00:00"/>
    <x v="5"/>
    <x v="15"/>
    <s v="Brazil"/>
    <n v="2"/>
    <n v="1"/>
    <s v="FIFA World Cup"/>
    <s v="Port Elizabeth"/>
    <s v="South Africa"/>
    <b v="1"/>
    <n v="2010"/>
    <n v="852464982433.33496"/>
    <n v="2208838108484.3501"/>
    <n v="-1"/>
  </r>
  <r>
    <n v="765"/>
    <d v="2010-07-02T00:00:00"/>
    <x v="5"/>
    <x v="14"/>
    <s v="Ghana"/>
    <n v="1"/>
    <n v="1"/>
    <s v="FIFA World Cup"/>
    <s v="Johannesburg"/>
    <s v="South Africa"/>
    <b v="1"/>
    <n v="2010"/>
    <n v="41950361211.958099"/>
    <n v="32197655566.534698"/>
    <n v="0"/>
  </r>
  <r>
    <n v="766"/>
    <d v="2010-07-03T00:00:00"/>
    <x v="5"/>
    <x v="4"/>
    <s v="Germany"/>
    <n v="0"/>
    <n v="4"/>
    <s v="FIFA World Cup"/>
    <s v="Cape Town"/>
    <s v="South Africa"/>
    <b v="1"/>
    <n v="2010"/>
    <n v="423627422092.48999"/>
    <n v="3467093769666.6699"/>
    <n v="1"/>
  </r>
  <r>
    <n v="767"/>
    <d v="2010-07-03T00:00:00"/>
    <x v="5"/>
    <x v="25"/>
    <s v="Spain"/>
    <n v="0"/>
    <n v="1"/>
    <s v="FIFA World Cup"/>
    <s v="Johannesburg"/>
    <s v="South Africa"/>
    <b v="1"/>
    <n v="2010"/>
    <n v="27260886405.2341"/>
    <n v="1427989078916.6699"/>
    <n v="1"/>
  </r>
  <r>
    <n v="768"/>
    <d v="2010-07-06T00:00:00"/>
    <x v="5"/>
    <x v="14"/>
    <s v="Netherlands"/>
    <n v="2"/>
    <n v="3"/>
    <s v="FIFA World Cup"/>
    <s v="Cape Town"/>
    <s v="South Africa"/>
    <b v="1"/>
    <n v="2010"/>
    <n v="41950361211.958099"/>
    <n v="852464982433.33496"/>
    <n v="1"/>
  </r>
  <r>
    <n v="769"/>
    <d v="2010-07-07T00:00:00"/>
    <x v="5"/>
    <x v="3"/>
    <s v="Spain"/>
    <n v="0"/>
    <n v="1"/>
    <s v="FIFA World Cup"/>
    <s v="Durban"/>
    <s v="South Africa"/>
    <b v="1"/>
    <n v="2010"/>
    <n v="3467093769666.6699"/>
    <n v="1427989078916.6699"/>
    <n v="-1"/>
  </r>
  <r>
    <n v="770"/>
    <d v="2010-07-10T00:00:00"/>
    <x v="5"/>
    <x v="14"/>
    <s v="Germany"/>
    <n v="2"/>
    <n v="3"/>
    <s v="FIFA World Cup"/>
    <s v="Port Elizabeth"/>
    <s v="South Africa"/>
    <b v="1"/>
    <n v="2010"/>
    <n v="41950361211.958099"/>
    <n v="3467093769666.6699"/>
    <n v="1"/>
  </r>
  <r>
    <n v="771"/>
    <d v="2010-07-11T00:00:00"/>
    <x v="5"/>
    <x v="15"/>
    <s v="Spain"/>
    <n v="0"/>
    <n v="1"/>
    <s v="FIFA World Cup"/>
    <s v="Johannesburg"/>
    <s v="South Africa"/>
    <b v="1"/>
    <n v="2010"/>
    <n v="852464982433.33496"/>
    <n v="1427989078916.6699"/>
    <n v="1"/>
  </r>
  <r>
    <n v="772"/>
    <d v="2014-06-12T00:00:00"/>
    <x v="5"/>
    <x v="0"/>
    <s v="Croatia"/>
    <n v="3"/>
    <n v="1"/>
    <s v="FIFA World Cup"/>
    <s v="SÃ£o Paulo"/>
    <s v="Brazil"/>
    <b v="0"/>
    <n v="2014"/>
    <n v="2456043766032.3799"/>
    <n v="59606934500.995697"/>
    <n v="1"/>
  </r>
  <r>
    <n v="773"/>
    <d v="2014-06-13T00:00:00"/>
    <x v="5"/>
    <x v="1"/>
    <s v="Australia"/>
    <n v="3"/>
    <n v="1"/>
    <s v="FIFA World Cup"/>
    <s v="CuiabÃ¡"/>
    <s v="Brazil"/>
    <b v="1"/>
    <n v="2014"/>
    <n v="259560978224.35901"/>
    <n v="1474677007565.6399"/>
    <n v="-1"/>
  </r>
  <r>
    <n v="774"/>
    <d v="2014-06-13T00:00:00"/>
    <x v="5"/>
    <x v="5"/>
    <s v="Cameroon"/>
    <n v="1"/>
    <n v="0"/>
    <s v="FIFA World Cup"/>
    <s v="Natal"/>
    <s v="Brazil"/>
    <b v="1"/>
    <n v="2014"/>
    <n v="1364507717614.1299"/>
    <n v="36386544706.080597"/>
    <n v="1"/>
  </r>
  <r>
    <n v="775"/>
    <d v="2014-06-13T00:00:00"/>
    <x v="5"/>
    <x v="9"/>
    <s v="Netherlands"/>
    <n v="1"/>
    <n v="5"/>
    <s v="FIFA World Cup"/>
    <s v="Salvador"/>
    <s v="Brazil"/>
    <b v="1"/>
    <n v="2014"/>
    <n v="1380244561361.96"/>
    <n v="901556501756.46704"/>
    <n v="-1"/>
  </r>
  <r>
    <n v="776"/>
    <d v="2014-06-14T00:00:00"/>
    <x v="5"/>
    <x v="2"/>
    <s v="Greece"/>
    <n v="3"/>
    <n v="0"/>
    <s v="FIFA World Cup"/>
    <s v="Belo Horizonte"/>
    <s v="Brazil"/>
    <b v="1"/>
    <n v="2014"/>
    <n v="381240864422.40698"/>
    <n v="233911581521.06201"/>
    <n v="1"/>
  </r>
  <r>
    <n v="777"/>
    <d v="2014-06-14T00:00:00"/>
    <x v="5"/>
    <x v="7"/>
    <s v="Italy"/>
    <n v="1"/>
    <n v="2"/>
    <s v="FIFA World Cup"/>
    <s v="Manaus"/>
    <s v="Brazil"/>
    <b v="1"/>
    <n v="2014"/>
    <n v="3085362169410.29"/>
    <n v="2173255507985.8401"/>
    <n v="-1"/>
  </r>
  <r>
    <n v="779"/>
    <d v="2014-06-14T00:00:00"/>
    <x v="5"/>
    <x v="14"/>
    <s v="Costa Rica"/>
    <n v="1"/>
    <n v="3"/>
    <s v="FIFA World Cup"/>
    <s v="Fortaleza"/>
    <s v="Brazil"/>
    <b v="1"/>
    <n v="2014"/>
    <n v="61496186973.902"/>
    <n v="52016408854.2658"/>
    <n v="-1"/>
  </r>
  <r>
    <n v="780"/>
    <d v="2014-06-15T00:00:00"/>
    <x v="5"/>
    <x v="4"/>
    <s v="Bosnia and Herzegovina"/>
    <n v="2"/>
    <n v="1"/>
    <s v="FIFA World Cup"/>
    <s v="Rio de Janeiro"/>
    <s v="Brazil"/>
    <b v="1"/>
    <n v="2014"/>
    <n v="526319673731.638"/>
    <n v="18558734107.1478"/>
    <n v="1"/>
  </r>
  <r>
    <n v="781"/>
    <d v="2014-06-15T00:00:00"/>
    <x v="5"/>
    <x v="8"/>
    <s v="Honduras"/>
    <n v="3"/>
    <n v="0"/>
    <s v="FIFA World Cup"/>
    <s v="Porto Alegre"/>
    <s v="Brazil"/>
    <b v="1"/>
    <n v="2014"/>
    <n v="2861236112552.4199"/>
    <n v="19756533971.869801"/>
    <n v="1"/>
  </r>
  <r>
    <n v="782"/>
    <d v="2014-06-15T00:00:00"/>
    <x v="5"/>
    <x v="36"/>
    <s v="Ecuador"/>
    <n v="2"/>
    <n v="1"/>
    <s v="FIFA World Cup"/>
    <s v="BrasÃ­lia"/>
    <s v="Brazil"/>
    <b v="1"/>
    <n v="2014"/>
    <n v="726537808338"/>
    <n v="102717794000"/>
    <n v="1"/>
  </r>
  <r>
    <n v="783"/>
    <d v="2014-06-16T00:00:00"/>
    <x v="5"/>
    <x v="3"/>
    <s v="Portugal"/>
    <n v="4"/>
    <n v="0"/>
    <s v="FIFA World Cup"/>
    <s v="Salvador"/>
    <s v="Brazil"/>
    <b v="1"/>
    <n v="2014"/>
    <n v="3964870735760.77"/>
    <n v="230078616299.67499"/>
    <n v="1"/>
  </r>
  <r>
    <n v="784"/>
    <d v="2014-06-16T00:00:00"/>
    <x v="5"/>
    <x v="54"/>
    <s v="United States"/>
    <n v="1"/>
    <n v="2"/>
    <s v="FIFA World Cup"/>
    <s v="Natal"/>
    <s v="Brazil"/>
    <b v="1"/>
    <n v="2014"/>
    <n v="54678533805.906403"/>
    <n v="17550680174000"/>
    <n v="1"/>
  </r>
  <r>
    <n v="785"/>
    <d v="2014-06-16T00:00:00"/>
    <x v="5"/>
    <x v="18"/>
    <s v="Nigeria"/>
    <n v="0"/>
    <n v="0"/>
    <s v="FIFA World Cup"/>
    <s v="Curitiba"/>
    <s v="Brazil"/>
    <b v="1"/>
    <n v="2014"/>
    <n v="462284793280.82501"/>
    <n v="574183763411.50806"/>
    <n v="0"/>
  </r>
  <r>
    <n v="786"/>
    <d v="2014-06-17T00:00:00"/>
    <x v="5"/>
    <x v="11"/>
    <s v="Algeria"/>
    <n v="2"/>
    <n v="1"/>
    <s v="FIFA World Cup"/>
    <s v="Belo Horizonte"/>
    <s v="Brazil"/>
    <b v="1"/>
    <n v="2014"/>
    <n v="537987419164.35101"/>
    <n v="238942664192.59"/>
    <n v="1"/>
  </r>
  <r>
    <n v="787"/>
    <d v="2014-06-17T00:00:00"/>
    <x v="5"/>
    <x v="0"/>
    <s v="Mexico"/>
    <n v="0"/>
    <n v="0"/>
    <s v="FIFA World Cup"/>
    <s v="Fortaleza"/>
    <s v="Brazil"/>
    <b v="0"/>
    <n v="2014"/>
    <n v="2456043766032.3799"/>
    <n v="1364507717614.1299"/>
    <n v="0"/>
  </r>
  <r>
    <n v="789"/>
    <d v="2014-06-18T00:00:00"/>
    <x v="5"/>
    <x v="16"/>
    <s v="Netherlands"/>
    <n v="2"/>
    <n v="3"/>
    <s v="FIFA World Cup"/>
    <s v="Curitiba"/>
    <s v="Brazil"/>
    <b v="1"/>
    <n v="2014"/>
    <n v="1474677007565.6399"/>
    <n v="901556501756.46704"/>
    <n v="-1"/>
  </r>
  <r>
    <n v="790"/>
    <d v="2014-06-18T00:00:00"/>
    <x v="5"/>
    <x v="30"/>
    <s v="Croatia"/>
    <n v="0"/>
    <n v="4"/>
    <s v="FIFA World Cup"/>
    <s v="Manaus"/>
    <s v="Brazil"/>
    <b v="1"/>
    <n v="2014"/>
    <n v="36386544706.080597"/>
    <n v="59606934500.995697"/>
    <n v="1"/>
  </r>
  <r>
    <n v="791"/>
    <d v="2014-06-18T00:00:00"/>
    <x v="5"/>
    <x v="9"/>
    <s v="Chile"/>
    <n v="0"/>
    <n v="2"/>
    <s v="FIFA World Cup"/>
    <s v="Rio de Janeiro"/>
    <s v="Brazil"/>
    <b v="1"/>
    <n v="2014"/>
    <n v="1380244561361.96"/>
    <n v="259560978224.35901"/>
    <n v="-1"/>
  </r>
  <r>
    <n v="793"/>
    <d v="2014-06-19T00:00:00"/>
    <x v="5"/>
    <x v="42"/>
    <s v="Greece"/>
    <n v="0"/>
    <n v="0"/>
    <s v="FIFA World Cup"/>
    <s v="Natal"/>
    <s v="Brazil"/>
    <b v="1"/>
    <n v="2014"/>
    <n v="4896994405353.29"/>
    <n v="233911581521.06201"/>
    <n v="0"/>
  </r>
  <r>
    <n v="794"/>
    <d v="2014-06-19T00:00:00"/>
    <x v="5"/>
    <x v="14"/>
    <s v="England"/>
    <n v="2"/>
    <n v="1"/>
    <s v="FIFA World Cup"/>
    <s v="SÃ£o Paulo"/>
    <s v="Brazil"/>
    <b v="1"/>
    <n v="2014"/>
    <n v="61496186973.902"/>
    <n v="3085362169410.29"/>
    <n v="-1"/>
  </r>
  <r>
    <n v="795"/>
    <d v="2014-06-20T00:00:00"/>
    <x v="5"/>
    <x v="56"/>
    <s v="Ecuador"/>
    <n v="1"/>
    <n v="2"/>
    <s v="FIFA World Cup"/>
    <s v="Curitiba"/>
    <s v="Brazil"/>
    <b v="1"/>
    <n v="2014"/>
    <n v="19756533971.869801"/>
    <n v="102717794000"/>
    <n v="1"/>
  </r>
  <r>
    <n v="796"/>
    <d v="2014-06-20T00:00:00"/>
    <x v="5"/>
    <x v="6"/>
    <s v="Costa Rica"/>
    <n v="0"/>
    <n v="1"/>
    <s v="FIFA World Cup"/>
    <s v="Recife"/>
    <s v="Brazil"/>
    <b v="1"/>
    <n v="2014"/>
    <n v="2173255507985.8401"/>
    <n v="52016408854.2658"/>
    <n v="-1"/>
  </r>
  <r>
    <n v="797"/>
    <d v="2014-06-20T00:00:00"/>
    <x v="5"/>
    <x v="36"/>
    <s v="France"/>
    <n v="2"/>
    <n v="5"/>
    <s v="FIFA World Cup"/>
    <s v="Salvador"/>
    <s v="Brazil"/>
    <b v="1"/>
    <n v="2014"/>
    <n v="726537808338"/>
    <n v="2861236112552.4199"/>
    <n v="1"/>
  </r>
  <r>
    <n v="798"/>
    <d v="2014-06-21T00:00:00"/>
    <x v="5"/>
    <x v="4"/>
    <s v="Iran"/>
    <n v="1"/>
    <n v="0"/>
    <s v="FIFA World Cup"/>
    <s v="Belo Horizonte"/>
    <s v="Brazil"/>
    <b v="1"/>
    <n v="2014"/>
    <n v="526319673731.638"/>
    <n v="462284793280.82501"/>
    <n v="1"/>
  </r>
  <r>
    <n v="799"/>
    <d v="2014-06-21T00:00:00"/>
    <x v="5"/>
    <x v="3"/>
    <s v="Ghana"/>
    <n v="2"/>
    <n v="2"/>
    <s v="FIFA World Cup"/>
    <s v="Fortaleza"/>
    <s v="Brazil"/>
    <b v="1"/>
    <n v="2014"/>
    <n v="3964870735760.77"/>
    <n v="54678533805.906403"/>
    <n v="0"/>
  </r>
  <r>
    <n v="800"/>
    <d v="2014-06-21T00:00:00"/>
    <x v="5"/>
    <x v="33"/>
    <s v="Bosnia and Herzegovina"/>
    <n v="1"/>
    <n v="0"/>
    <s v="FIFA World Cup"/>
    <s v="CuiabÃ¡"/>
    <s v="Brazil"/>
    <b v="1"/>
    <n v="2014"/>
    <n v="574183763411.50806"/>
    <n v="18558734107.1478"/>
    <n v="1"/>
  </r>
  <r>
    <n v="803"/>
    <d v="2014-06-22T00:00:00"/>
    <x v="5"/>
    <x v="29"/>
    <s v="Portugal"/>
    <n v="2"/>
    <n v="2"/>
    <s v="FIFA World Cup"/>
    <s v="Manaus"/>
    <s v="Brazil"/>
    <b v="1"/>
    <n v="2014"/>
    <n v="17550680174000"/>
    <n v="230078616299.67499"/>
    <n v="0"/>
  </r>
  <r>
    <n v="804"/>
    <d v="2014-06-23T00:00:00"/>
    <x v="5"/>
    <x v="16"/>
    <s v="Spain"/>
    <n v="0"/>
    <n v="3"/>
    <s v="FIFA World Cup"/>
    <s v="Curitiba"/>
    <s v="Brazil"/>
    <b v="1"/>
    <n v="2014"/>
    <n v="1474677007565.6399"/>
    <n v="1380244561361.96"/>
    <n v="-1"/>
  </r>
  <r>
    <n v="805"/>
    <d v="2014-06-23T00:00:00"/>
    <x v="5"/>
    <x v="0"/>
    <s v="Cameroon"/>
    <n v="4"/>
    <n v="1"/>
    <s v="FIFA World Cup"/>
    <s v="BrasÃ­lia"/>
    <s v="Brazil"/>
    <b v="0"/>
    <n v="2014"/>
    <n v="2456043766032.3799"/>
    <n v="36386544706.080597"/>
    <n v="1"/>
  </r>
  <r>
    <n v="806"/>
    <d v="2014-06-23T00:00:00"/>
    <x v="5"/>
    <x v="43"/>
    <s v="Mexico"/>
    <n v="1"/>
    <n v="3"/>
    <s v="FIFA World Cup"/>
    <s v="Recife"/>
    <s v="Brazil"/>
    <b v="1"/>
    <n v="2014"/>
    <n v="59606934500.995697"/>
    <n v="1364507717614.1299"/>
    <n v="1"/>
  </r>
  <r>
    <n v="807"/>
    <d v="2014-06-23T00:00:00"/>
    <x v="5"/>
    <x v="15"/>
    <s v="Chile"/>
    <n v="2"/>
    <n v="0"/>
    <s v="FIFA World Cup"/>
    <s v="SÃ£o Paulo"/>
    <s v="Brazil"/>
    <b v="1"/>
    <n v="2014"/>
    <n v="901556501756.46704"/>
    <n v="259560978224.35901"/>
    <n v="1"/>
  </r>
  <r>
    <n v="808"/>
    <d v="2014-06-24T00:00:00"/>
    <x v="5"/>
    <x v="48"/>
    <s v="England"/>
    <n v="0"/>
    <n v="0"/>
    <s v="FIFA World Cup"/>
    <s v="Belo Horizonte"/>
    <s v="Brazil"/>
    <b v="1"/>
    <n v="2014"/>
    <n v="52016408854.2658"/>
    <n v="3085362169410.29"/>
    <n v="0"/>
  </r>
  <r>
    <n v="810"/>
    <d v="2014-06-24T00:00:00"/>
    <x v="5"/>
    <x v="6"/>
    <s v="Uruguay"/>
    <n v="0"/>
    <n v="1"/>
    <s v="FIFA World Cup"/>
    <s v="Natal"/>
    <s v="Brazil"/>
    <b v="1"/>
    <n v="2014"/>
    <n v="2173255507985.8401"/>
    <n v="61496186973.902"/>
    <n v="-1"/>
  </r>
  <r>
    <n v="811"/>
    <d v="2014-06-24T00:00:00"/>
    <x v="5"/>
    <x v="42"/>
    <s v="Colombia"/>
    <n v="1"/>
    <n v="4"/>
    <s v="FIFA World Cup"/>
    <s v="CuiabÃ¡"/>
    <s v="Brazil"/>
    <b v="1"/>
    <n v="2014"/>
    <n v="4896994405353.29"/>
    <n v="381240864422.40698"/>
    <n v="-1"/>
  </r>
  <r>
    <n v="812"/>
    <d v="2014-06-25T00:00:00"/>
    <x v="5"/>
    <x v="57"/>
    <s v="Iran"/>
    <n v="3"/>
    <n v="1"/>
    <s v="FIFA World Cup"/>
    <s v="Salvador"/>
    <s v="Brazil"/>
    <b v="1"/>
    <n v="2014"/>
    <n v="18558734107.1478"/>
    <n v="462284793280.82501"/>
    <n v="-1"/>
  </r>
  <r>
    <n v="813"/>
    <d v="2014-06-25T00:00:00"/>
    <x v="5"/>
    <x v="49"/>
    <s v="France"/>
    <n v="0"/>
    <n v="0"/>
    <s v="FIFA World Cup"/>
    <s v="Rio de Janeiro"/>
    <s v="Brazil"/>
    <b v="1"/>
    <n v="2014"/>
    <n v="102717794000"/>
    <n v="2861236112552.4199"/>
    <n v="0"/>
  </r>
  <r>
    <n v="814"/>
    <d v="2014-06-25T00:00:00"/>
    <x v="5"/>
    <x v="56"/>
    <s v="Switzerland"/>
    <n v="0"/>
    <n v="3"/>
    <s v="FIFA World Cup"/>
    <s v="Manaus"/>
    <s v="Brazil"/>
    <b v="1"/>
    <n v="2014"/>
    <n v="19756533971.869801"/>
    <n v="726537808338"/>
    <n v="1"/>
  </r>
  <r>
    <n v="815"/>
    <d v="2014-06-25T00:00:00"/>
    <x v="5"/>
    <x v="33"/>
    <s v="Argentina"/>
    <n v="2"/>
    <n v="3"/>
    <s v="FIFA World Cup"/>
    <s v="Porto Alegre"/>
    <s v="Brazil"/>
    <b v="1"/>
    <n v="2014"/>
    <n v="574183763411.50806"/>
    <n v="526319673731.638"/>
    <n v="-1"/>
  </r>
  <r>
    <n v="818"/>
    <d v="2014-06-26T00:00:00"/>
    <x v="5"/>
    <x v="24"/>
    <s v="Ghana"/>
    <n v="2"/>
    <n v="1"/>
    <s v="FIFA World Cup"/>
    <s v="BrasÃ­lia"/>
    <s v="Brazil"/>
    <b v="1"/>
    <n v="2014"/>
    <n v="230078616299.67499"/>
    <n v="54678533805.906403"/>
    <n v="1"/>
  </r>
  <r>
    <n v="819"/>
    <d v="2014-06-26T00:00:00"/>
    <x v="5"/>
    <x v="29"/>
    <s v="Germany"/>
    <n v="0"/>
    <n v="1"/>
    <s v="FIFA World Cup"/>
    <s v="Recife"/>
    <s v="Brazil"/>
    <b v="1"/>
    <n v="2014"/>
    <n v="17550680174000"/>
    <n v="3964870735760.77"/>
    <n v="-1"/>
  </r>
  <r>
    <n v="820"/>
    <d v="2014-06-28T00:00:00"/>
    <x v="5"/>
    <x v="0"/>
    <s v="Chile"/>
    <n v="1"/>
    <n v="1"/>
    <s v="FIFA World Cup"/>
    <s v="Belo Horizonte"/>
    <s v="Brazil"/>
    <b v="0"/>
    <n v="2014"/>
    <n v="2456043766032.3799"/>
    <n v="259560978224.35901"/>
    <n v="0"/>
  </r>
  <r>
    <n v="821"/>
    <d v="2014-06-28T00:00:00"/>
    <x v="5"/>
    <x v="2"/>
    <s v="Uruguay"/>
    <n v="2"/>
    <n v="0"/>
    <s v="FIFA World Cup"/>
    <s v="Rio de Janeiro"/>
    <s v="Brazil"/>
    <b v="1"/>
    <n v="2014"/>
    <n v="381240864422.40698"/>
    <n v="61496186973.902"/>
    <n v="1"/>
  </r>
  <r>
    <n v="822"/>
    <d v="2014-06-29T00:00:00"/>
    <x v="5"/>
    <x v="48"/>
    <s v="Greece"/>
    <n v="1"/>
    <n v="1"/>
    <s v="FIFA World Cup"/>
    <s v="Recife"/>
    <s v="Brazil"/>
    <b v="1"/>
    <n v="2014"/>
    <n v="52016408854.2658"/>
    <n v="233911581521.06201"/>
    <n v="0"/>
  </r>
  <r>
    <n v="823"/>
    <d v="2014-06-29T00:00:00"/>
    <x v="5"/>
    <x v="15"/>
    <s v="Mexico"/>
    <n v="2"/>
    <n v="1"/>
    <s v="FIFA World Cup"/>
    <s v="Fortaleza"/>
    <s v="Brazil"/>
    <b v="1"/>
    <n v="2014"/>
    <n v="901556501756.46704"/>
    <n v="1364507717614.1299"/>
    <n v="-1"/>
  </r>
  <r>
    <n v="824"/>
    <d v="2014-06-30T00:00:00"/>
    <x v="5"/>
    <x v="8"/>
    <s v="Nigeria"/>
    <n v="2"/>
    <n v="0"/>
    <s v="FIFA World Cup"/>
    <s v="BrasÃ­lia"/>
    <s v="Brazil"/>
    <b v="1"/>
    <n v="2014"/>
    <n v="2861236112552.4199"/>
    <n v="574183763411.50806"/>
    <n v="1"/>
  </r>
  <r>
    <n v="825"/>
    <d v="2014-06-30T00:00:00"/>
    <x v="5"/>
    <x v="3"/>
    <s v="Algeria"/>
    <n v="2"/>
    <n v="1"/>
    <s v="FIFA World Cup"/>
    <s v="Porto Alegre"/>
    <s v="Brazil"/>
    <b v="1"/>
    <n v="2014"/>
    <n v="3964870735760.77"/>
    <n v="238942664192.59"/>
    <n v="1"/>
  </r>
  <r>
    <n v="826"/>
    <d v="2014-07-01T00:00:00"/>
    <x v="5"/>
    <x v="4"/>
    <s v="Switzerland"/>
    <n v="1"/>
    <n v="0"/>
    <s v="FIFA World Cup"/>
    <s v="SÃ£o Paulo"/>
    <s v="Brazil"/>
    <b v="1"/>
    <n v="2014"/>
    <n v="526319673731.638"/>
    <n v="726537808338"/>
    <n v="-1"/>
  </r>
  <r>
    <n v="827"/>
    <d v="2014-07-01T00:00:00"/>
    <x v="5"/>
    <x v="11"/>
    <s v="United States"/>
    <n v="2"/>
    <n v="1"/>
    <s v="FIFA World Cup"/>
    <s v="Salvador"/>
    <s v="Brazil"/>
    <b v="1"/>
    <n v="2014"/>
    <n v="537987419164.35101"/>
    <n v="17550680174000"/>
    <n v="-1"/>
  </r>
  <r>
    <n v="828"/>
    <d v="2014-07-04T00:00:00"/>
    <x v="5"/>
    <x v="0"/>
    <s v="Colombia"/>
    <n v="2"/>
    <n v="1"/>
    <s v="FIFA World Cup"/>
    <s v="Fortaleza"/>
    <s v="Brazil"/>
    <b v="0"/>
    <n v="2014"/>
    <n v="2456043766032.3799"/>
    <n v="381240864422.40698"/>
    <n v="1"/>
  </r>
  <r>
    <n v="829"/>
    <d v="2014-07-04T00:00:00"/>
    <x v="5"/>
    <x v="8"/>
    <s v="Germany"/>
    <n v="0"/>
    <n v="1"/>
    <s v="FIFA World Cup"/>
    <s v="Rio de Janeiro"/>
    <s v="Brazil"/>
    <b v="1"/>
    <n v="2014"/>
    <n v="2861236112552.4199"/>
    <n v="3964870735760.77"/>
    <n v="1"/>
  </r>
  <r>
    <n v="830"/>
    <d v="2014-07-05T00:00:00"/>
    <x v="5"/>
    <x v="4"/>
    <s v="Belgium"/>
    <n v="1"/>
    <n v="0"/>
    <s v="FIFA World Cup"/>
    <s v="BrasÃ­lia"/>
    <s v="Brazil"/>
    <b v="1"/>
    <n v="2014"/>
    <n v="526319673731.638"/>
    <n v="537987419164.35101"/>
    <n v="-1"/>
  </r>
  <r>
    <n v="831"/>
    <d v="2014-07-05T00:00:00"/>
    <x v="5"/>
    <x v="15"/>
    <s v="Costa Rica"/>
    <n v="0"/>
    <n v="0"/>
    <s v="FIFA World Cup"/>
    <s v="Salvador"/>
    <s v="Brazil"/>
    <b v="1"/>
    <n v="2014"/>
    <n v="901556501756.46704"/>
    <n v="52016408854.2658"/>
    <n v="0"/>
  </r>
  <r>
    <n v="832"/>
    <d v="2014-07-08T00:00:00"/>
    <x v="5"/>
    <x v="0"/>
    <s v="Germany"/>
    <n v="1"/>
    <n v="7"/>
    <s v="FIFA World Cup"/>
    <s v="Belo Horizonte"/>
    <s v="Brazil"/>
    <b v="0"/>
    <n v="2014"/>
    <n v="2456043766032.3799"/>
    <n v="3964870735760.77"/>
    <n v="1"/>
  </r>
  <r>
    <n v="833"/>
    <d v="2014-07-09T00:00:00"/>
    <x v="5"/>
    <x v="15"/>
    <s v="Argentina"/>
    <n v="0"/>
    <n v="0"/>
    <s v="FIFA World Cup"/>
    <s v="SÃ£o Paulo"/>
    <s v="Brazil"/>
    <b v="1"/>
    <n v="2014"/>
    <n v="901556501756.46704"/>
    <n v="526319673731.638"/>
    <n v="0"/>
  </r>
  <r>
    <n v="834"/>
    <d v="2014-07-12T00:00:00"/>
    <x v="5"/>
    <x v="0"/>
    <s v="Netherlands"/>
    <n v="0"/>
    <n v="3"/>
    <s v="FIFA World Cup"/>
    <s v="BrasÃ­lia"/>
    <s v="Brazil"/>
    <b v="0"/>
    <n v="2014"/>
    <n v="2456043766032.3799"/>
    <n v="901556501756.46704"/>
    <n v="-1"/>
  </r>
  <r>
    <n v="835"/>
    <d v="2014-07-13T00:00:00"/>
    <x v="5"/>
    <x v="3"/>
    <s v="Argentina"/>
    <n v="1"/>
    <n v="0"/>
    <s v="FIFA World Cup"/>
    <s v="Rio de Janeiro"/>
    <s v="Brazil"/>
    <b v="1"/>
    <n v="2014"/>
    <n v="3964870735760.77"/>
    <n v="526319673731.638"/>
    <n v="1"/>
  </r>
  <r>
    <n v="837"/>
    <d v="2018-06-15T00:00:00"/>
    <x v="5"/>
    <x v="58"/>
    <s v="Uruguay"/>
    <n v="0"/>
    <n v="1"/>
    <s v="FIFA World Cup"/>
    <s v="Ekaterinburg"/>
    <s v="Russia"/>
    <b v="1"/>
    <n v="2018"/>
    <n v="262588632526.73001"/>
    <n v="65344577415.753502"/>
    <n v="-1"/>
  </r>
  <r>
    <n v="838"/>
    <d v="2018-06-15T00:00:00"/>
    <x v="5"/>
    <x v="12"/>
    <s v="Iran"/>
    <n v="0"/>
    <n v="1"/>
    <s v="FIFA World Cup"/>
    <s v="Saint Petersburg"/>
    <s v="Russia"/>
    <b v="1"/>
    <n v="2018"/>
    <n v="127341147581.81799"/>
    <n v="411903303606.04401"/>
    <n v="1"/>
  </r>
  <r>
    <n v="839"/>
    <d v="2018-06-15T00:00:00"/>
    <x v="5"/>
    <x v="24"/>
    <s v="Spain"/>
    <n v="3"/>
    <n v="3"/>
    <s v="FIFA World Cup"/>
    <s v="Sochi"/>
    <s v="Russia"/>
    <b v="1"/>
    <n v="2018"/>
    <n v="242092894542.888"/>
    <n v="1431642809327.0601"/>
    <n v="0"/>
  </r>
  <r>
    <n v="840"/>
    <d v="2018-06-16T00:00:00"/>
    <x v="5"/>
    <x v="8"/>
    <s v="Australia"/>
    <n v="2"/>
    <n v="1"/>
    <s v="FIFA World Cup"/>
    <s v="Kazan"/>
    <s v="Russia"/>
    <b v="1"/>
    <n v="2018"/>
    <n v="2781576320884.3901"/>
    <n v="1433144978761.6699"/>
    <n v="1"/>
  </r>
  <r>
    <n v="841"/>
    <d v="2018-06-16T00:00:00"/>
    <x v="5"/>
    <x v="4"/>
    <s v="Iceland"/>
    <n v="1"/>
    <n v="1"/>
    <s v="FIFA World Cup"/>
    <s v="Moscow"/>
    <s v="Russia"/>
    <b v="1"/>
    <n v="2018"/>
    <n v="524819892360.17603"/>
    <n v="26677652544.349899"/>
    <n v="0"/>
  </r>
  <r>
    <n v="842"/>
    <d v="2018-06-16T00:00:00"/>
    <x v="5"/>
    <x v="20"/>
    <s v="Denmark"/>
    <n v="0"/>
    <n v="1"/>
    <s v="FIFA World Cup"/>
    <s v="Saransk"/>
    <s v="Russia"/>
    <b v="1"/>
    <n v="2018"/>
    <n v="222597009739.23499"/>
    <n v="355293374912.39301"/>
    <n v="1"/>
  </r>
  <r>
    <n v="843"/>
    <d v="2018-06-16T00:00:00"/>
    <x v="5"/>
    <x v="43"/>
    <s v="Nigeria"/>
    <n v="2"/>
    <n v="0"/>
    <s v="FIFA World Cup"/>
    <s v="Kaliningrad"/>
    <s v="Russia"/>
    <b v="1"/>
    <n v="2018"/>
    <n v="61667925219.0755"/>
    <n v="421739251509.08002"/>
    <n v="-1"/>
  </r>
  <r>
    <n v="844"/>
    <d v="2018-06-17T00:00:00"/>
    <x v="5"/>
    <x v="48"/>
    <s v="Serbia"/>
    <n v="0"/>
    <n v="1"/>
    <s v="FIFA World Cup"/>
    <s v="Samara"/>
    <s v="Russia"/>
    <b v="1"/>
    <n v="2018"/>
    <n v="62420164991.537399"/>
    <n v="52787520248.924202"/>
    <n v="-1"/>
  </r>
  <r>
    <n v="845"/>
    <d v="2018-06-17T00:00:00"/>
    <x v="5"/>
    <x v="3"/>
    <s v="Mexico"/>
    <n v="0"/>
    <n v="1"/>
    <s v="FIFA World Cup"/>
    <s v="Moscow"/>
    <s v="Russia"/>
    <b v="1"/>
    <n v="2018"/>
    <n v="4055433215301.96"/>
    <n v="1256300182879.73"/>
    <n v="-1"/>
  </r>
  <r>
    <n v="846"/>
    <d v="2018-06-17T00:00:00"/>
    <x v="5"/>
    <x v="0"/>
    <s v="Switzerland"/>
    <n v="1"/>
    <n v="1"/>
    <s v="FIFA World Cup"/>
    <s v="Rostov-on-Don"/>
    <s v="Russia"/>
    <b v="1"/>
    <n v="2018"/>
    <n v="1916933708352.71"/>
    <n v="725568717468.00098"/>
    <n v="0"/>
  </r>
  <r>
    <n v="848"/>
    <d v="2018-06-18T00:00:00"/>
    <x v="5"/>
    <x v="11"/>
    <s v="Panama"/>
    <n v="3"/>
    <n v="0"/>
    <s v="FIFA World Cup"/>
    <s v="Sochi"/>
    <s v="Russia"/>
    <b v="1"/>
    <n v="2018"/>
    <n v="542638913427.92102"/>
    <n v="67316471181.248802"/>
    <n v="1"/>
  </r>
  <r>
    <n v="849"/>
    <d v="2018-06-18T00:00:00"/>
    <x v="5"/>
    <x v="45"/>
    <s v="England"/>
    <n v="1"/>
    <n v="2"/>
    <s v="FIFA World Cup"/>
    <s v="Volgograd"/>
    <s v="Russia"/>
    <b v="1"/>
    <n v="2018"/>
    <n v="42686504459.801003"/>
    <n v="2897028009916.0498"/>
    <n v="1"/>
  </r>
  <r>
    <n v="850"/>
    <d v="2018-06-19T00:00:00"/>
    <x v="5"/>
    <x v="2"/>
    <s v="Japan"/>
    <n v="1"/>
    <n v="2"/>
    <s v="FIFA World Cup"/>
    <s v="Saransk"/>
    <s v="Russia"/>
    <b v="1"/>
    <n v="2018"/>
    <n v="334198218098.276"/>
    <n v="5040880939324.8604"/>
    <n v="1"/>
  </r>
  <r>
    <n v="851"/>
    <d v="2018-06-19T00:00:00"/>
    <x v="5"/>
    <x v="50"/>
    <s v="Senegal"/>
    <n v="1"/>
    <n v="2"/>
    <s v="FIFA World Cup"/>
    <s v="Moscow"/>
    <s v="Russia"/>
    <b v="1"/>
    <n v="2018"/>
    <n v="594616687350.01697"/>
    <n v="23116701556.1381"/>
    <n v="-1"/>
  </r>
  <r>
    <n v="853"/>
    <d v="2018-06-20T00:00:00"/>
    <x v="5"/>
    <x v="24"/>
    <s v="Morocco"/>
    <n v="1"/>
    <n v="0"/>
    <s v="FIFA World Cup"/>
    <s v="Moscow"/>
    <s v="Russia"/>
    <b v="1"/>
    <n v="2018"/>
    <n v="242092894542.888"/>
    <n v="127341147581.81799"/>
    <n v="1"/>
  </r>
  <r>
    <n v="854"/>
    <d v="2018-06-20T00:00:00"/>
    <x v="5"/>
    <x v="14"/>
    <s v="Saudi Arabia"/>
    <n v="1"/>
    <n v="0"/>
    <s v="FIFA World Cup"/>
    <s v="Rostov-on-Don"/>
    <s v="Russia"/>
    <b v="1"/>
    <n v="2018"/>
    <n v="65344577415.753502"/>
    <n v="886564800000"/>
    <n v="-1"/>
  </r>
  <r>
    <n v="855"/>
    <d v="2018-06-20T00:00:00"/>
    <x v="5"/>
    <x v="18"/>
    <s v="Spain"/>
    <n v="0"/>
    <n v="1"/>
    <s v="FIFA World Cup"/>
    <s v="Kazan"/>
    <s v="Russia"/>
    <b v="1"/>
    <n v="2018"/>
    <n v="411903303606.04401"/>
    <n v="1431642809327.0601"/>
    <n v="1"/>
  </r>
  <r>
    <n v="856"/>
    <d v="2018-06-21T00:00:00"/>
    <x v="5"/>
    <x v="26"/>
    <s v="Australia"/>
    <n v="1"/>
    <n v="1"/>
    <s v="FIFA World Cup"/>
    <s v="Samara"/>
    <s v="Russia"/>
    <b v="1"/>
    <n v="2018"/>
    <n v="355293374912.39301"/>
    <n v="1433144978761.6699"/>
    <n v="0"/>
  </r>
  <r>
    <n v="857"/>
    <d v="2018-06-21T00:00:00"/>
    <x v="5"/>
    <x v="8"/>
    <s v="Peru"/>
    <n v="1"/>
    <n v="0"/>
    <s v="FIFA World Cup"/>
    <s v="Ekaterinburg"/>
    <s v="Russia"/>
    <b v="1"/>
    <n v="2018"/>
    <n v="2781576320884.3901"/>
    <n v="222597009739.23499"/>
    <n v="1"/>
  </r>
  <r>
    <n v="858"/>
    <d v="2018-06-21T00:00:00"/>
    <x v="5"/>
    <x v="4"/>
    <s v="Croatia"/>
    <n v="0"/>
    <n v="3"/>
    <s v="FIFA World Cup"/>
    <s v="Nizhny Novgorod"/>
    <s v="Russia"/>
    <b v="1"/>
    <n v="2018"/>
    <n v="524819892360.17603"/>
    <n v="61667925219.0755"/>
    <n v="-1"/>
  </r>
  <r>
    <n v="859"/>
    <d v="2018-06-22T00:00:00"/>
    <x v="5"/>
    <x v="0"/>
    <s v="Costa Rica"/>
    <n v="2"/>
    <n v="0"/>
    <s v="FIFA World Cup"/>
    <s v="Saint Petersburg"/>
    <s v="Russia"/>
    <b v="1"/>
    <n v="2018"/>
    <n v="1916933708352.71"/>
    <n v="62420164991.537399"/>
    <n v="1"/>
  </r>
  <r>
    <n v="860"/>
    <d v="2018-06-22T00:00:00"/>
    <x v="5"/>
    <x v="33"/>
    <s v="Iceland"/>
    <n v="2"/>
    <n v="0"/>
    <s v="FIFA World Cup"/>
    <s v="Volgograd"/>
    <s v="Russia"/>
    <b v="1"/>
    <n v="2018"/>
    <n v="421739251509.08002"/>
    <n v="26677652544.349899"/>
    <n v="1"/>
  </r>
  <r>
    <n v="861"/>
    <d v="2018-06-22T00:00:00"/>
    <x v="5"/>
    <x v="40"/>
    <s v="Switzerland"/>
    <n v="1"/>
    <n v="2"/>
    <s v="FIFA World Cup"/>
    <s v="Kaliningrad"/>
    <s v="Russia"/>
    <b v="1"/>
    <n v="2018"/>
    <n v="52787520248.924202"/>
    <n v="725568717468.00098"/>
    <n v="1"/>
  </r>
  <r>
    <n v="862"/>
    <d v="2018-06-23T00:00:00"/>
    <x v="5"/>
    <x v="11"/>
    <s v="Tunisia"/>
    <n v="5"/>
    <n v="2"/>
    <s v="FIFA World Cup"/>
    <s v="Moscow"/>
    <s v="Russia"/>
    <b v="1"/>
    <n v="2018"/>
    <n v="542638913427.92102"/>
    <n v="42686504459.801003"/>
    <n v="1"/>
  </r>
  <r>
    <n v="864"/>
    <d v="2018-06-23T00:00:00"/>
    <x v="5"/>
    <x v="3"/>
    <s v="Sweden"/>
    <n v="2"/>
    <n v="1"/>
    <s v="FIFA World Cup"/>
    <s v="Sochi"/>
    <s v="Russia"/>
    <b v="1"/>
    <n v="2018"/>
    <n v="4055433215301.96"/>
    <n v="549649344043.18201"/>
    <n v="1"/>
  </r>
  <r>
    <n v="865"/>
    <d v="2018-06-24T00:00:00"/>
    <x v="5"/>
    <x v="7"/>
    <s v="Panama"/>
    <n v="6"/>
    <n v="1"/>
    <s v="FIFA World Cup"/>
    <s v="Nizhny Novgorod"/>
    <s v="Russia"/>
    <b v="1"/>
    <n v="2018"/>
    <n v="2897028009916.0498"/>
    <n v="67316471181.248802"/>
    <n v="1"/>
  </r>
  <r>
    <n v="866"/>
    <d v="2018-06-24T00:00:00"/>
    <x v="5"/>
    <x v="42"/>
    <s v="Senegal"/>
    <n v="2"/>
    <n v="2"/>
    <s v="FIFA World Cup"/>
    <s v="Ekaterinburg"/>
    <s v="Russia"/>
    <b v="1"/>
    <n v="2018"/>
    <n v="5040880939324.8604"/>
    <n v="23116701556.1381"/>
    <n v="0"/>
  </r>
  <r>
    <n v="867"/>
    <d v="2018-06-24T00:00:00"/>
    <x v="5"/>
    <x v="50"/>
    <s v="Colombia"/>
    <n v="0"/>
    <n v="3"/>
    <s v="FIFA World Cup"/>
    <s v="Kazan"/>
    <s v="Russia"/>
    <b v="1"/>
    <n v="2018"/>
    <n v="594616687350.01697"/>
    <n v="334198218098.276"/>
    <n v="-1"/>
  </r>
  <r>
    <n v="869"/>
    <d v="2018-06-25T00:00:00"/>
    <x v="5"/>
    <x v="35"/>
    <s v="Egypt"/>
    <n v="2"/>
    <n v="1"/>
    <s v="FIFA World Cup"/>
    <s v="Volgograd"/>
    <s v="Russia"/>
    <b v="1"/>
    <n v="2018"/>
    <n v="886564800000"/>
    <n v="262588632526.73001"/>
    <n v="1"/>
  </r>
  <r>
    <n v="870"/>
    <d v="2018-06-25T00:00:00"/>
    <x v="5"/>
    <x v="9"/>
    <s v="Morocco"/>
    <n v="2"/>
    <n v="2"/>
    <s v="FIFA World Cup"/>
    <s v="Kaliningrad"/>
    <s v="Russia"/>
    <b v="1"/>
    <n v="2018"/>
    <n v="1431642809327.0601"/>
    <n v="127341147581.81799"/>
    <n v="0"/>
  </r>
  <r>
    <n v="871"/>
    <d v="2018-06-25T00:00:00"/>
    <x v="5"/>
    <x v="18"/>
    <s v="Portugal"/>
    <n v="1"/>
    <n v="1"/>
    <s v="FIFA World Cup"/>
    <s v="Saransk"/>
    <s v="Russia"/>
    <b v="1"/>
    <n v="2018"/>
    <n v="411903303606.04401"/>
    <n v="242092894542.888"/>
    <n v="0"/>
  </r>
  <r>
    <n v="872"/>
    <d v="2018-06-26T00:00:00"/>
    <x v="5"/>
    <x v="16"/>
    <s v="Peru"/>
    <n v="0"/>
    <n v="2"/>
    <s v="FIFA World Cup"/>
    <s v="Sochi"/>
    <s v="Russia"/>
    <b v="1"/>
    <n v="2018"/>
    <n v="1433144978761.6699"/>
    <n v="222597009739.23499"/>
    <n v="-1"/>
  </r>
  <r>
    <n v="873"/>
    <d v="2018-06-26T00:00:00"/>
    <x v="5"/>
    <x v="26"/>
    <s v="France"/>
    <n v="0"/>
    <n v="0"/>
    <s v="FIFA World Cup"/>
    <s v="Moscow"/>
    <s v="Russia"/>
    <b v="1"/>
    <n v="2018"/>
    <n v="355293374912.39301"/>
    <n v="2781576320884.3901"/>
    <n v="0"/>
  </r>
  <r>
    <n v="874"/>
    <d v="2018-06-26T00:00:00"/>
    <x v="5"/>
    <x v="33"/>
    <s v="Argentina"/>
    <n v="1"/>
    <n v="2"/>
    <s v="FIFA World Cup"/>
    <s v="Saint Petersburg"/>
    <s v="Russia"/>
    <b v="1"/>
    <n v="2018"/>
    <n v="421739251509.08002"/>
    <n v="524819892360.17603"/>
    <n v="1"/>
  </r>
  <r>
    <n v="875"/>
    <d v="2018-06-26T00:00:00"/>
    <x v="5"/>
    <x v="59"/>
    <s v="Croatia"/>
    <n v="1"/>
    <n v="2"/>
    <s v="FIFA World Cup"/>
    <s v="Rostov-on-Don"/>
    <s v="Russia"/>
    <b v="1"/>
    <n v="2018"/>
    <n v="26677652544.349899"/>
    <n v="61667925219.0755"/>
    <n v="1"/>
  </r>
  <r>
    <n v="877"/>
    <d v="2018-06-27T00:00:00"/>
    <x v="5"/>
    <x v="5"/>
    <s v="Sweden"/>
    <n v="0"/>
    <n v="3"/>
    <s v="FIFA World Cup"/>
    <s v="Ekaterinburg"/>
    <s v="Russia"/>
    <b v="1"/>
    <n v="2018"/>
    <n v="1256300182879.73"/>
    <n v="549649344043.18201"/>
    <n v="-1"/>
  </r>
  <r>
    <n v="878"/>
    <d v="2018-06-27T00:00:00"/>
    <x v="5"/>
    <x v="40"/>
    <s v="Brazil"/>
    <n v="0"/>
    <n v="2"/>
    <s v="FIFA World Cup"/>
    <s v="Moscow"/>
    <s v="Russia"/>
    <b v="1"/>
    <n v="2018"/>
    <n v="52787520248.924202"/>
    <n v="1916933708352.71"/>
    <n v="1"/>
  </r>
  <r>
    <n v="879"/>
    <d v="2018-06-27T00:00:00"/>
    <x v="5"/>
    <x v="36"/>
    <s v="Costa Rica"/>
    <n v="2"/>
    <n v="2"/>
    <s v="FIFA World Cup"/>
    <s v="Nizhny Novgorod"/>
    <s v="Russia"/>
    <b v="1"/>
    <n v="2018"/>
    <n v="725568717468.00098"/>
    <n v="62420164991.537399"/>
    <n v="0"/>
  </r>
  <r>
    <n v="880"/>
    <d v="2018-06-28T00:00:00"/>
    <x v="5"/>
    <x v="42"/>
    <s v="Poland"/>
    <n v="0"/>
    <n v="1"/>
    <s v="FIFA World Cup"/>
    <s v="Volgograd"/>
    <s v="Russia"/>
    <b v="1"/>
    <n v="2018"/>
    <n v="5040880939324.8604"/>
    <n v="594616687350.01697"/>
    <n v="-1"/>
  </r>
  <r>
    <n v="881"/>
    <d v="2018-06-28T00:00:00"/>
    <x v="5"/>
    <x v="46"/>
    <s v="Colombia"/>
    <n v="0"/>
    <n v="1"/>
    <s v="FIFA World Cup"/>
    <s v="Samara"/>
    <s v="Russia"/>
    <b v="1"/>
    <n v="2018"/>
    <n v="23116701556.1381"/>
    <n v="334198218098.276"/>
    <n v="1"/>
  </r>
  <r>
    <n v="882"/>
    <d v="2018-06-28T00:00:00"/>
    <x v="5"/>
    <x v="60"/>
    <s v="Tunisia"/>
    <n v="1"/>
    <n v="2"/>
    <s v="FIFA World Cup"/>
    <s v="Saransk"/>
    <s v="Russia"/>
    <b v="1"/>
    <n v="2018"/>
    <n v="67316471181.248802"/>
    <n v="42686504459.801003"/>
    <n v="-1"/>
  </r>
  <r>
    <n v="883"/>
    <d v="2018-06-28T00:00:00"/>
    <x v="5"/>
    <x v="7"/>
    <s v="Belgium"/>
    <n v="0"/>
    <n v="1"/>
    <s v="FIFA World Cup"/>
    <s v="Kaliningrad"/>
    <s v="Russia"/>
    <b v="1"/>
    <n v="2018"/>
    <n v="2897028009916.0498"/>
    <n v="542638913427.92102"/>
    <n v="-1"/>
  </r>
  <r>
    <n v="884"/>
    <d v="2018-06-30T00:00:00"/>
    <x v="5"/>
    <x v="8"/>
    <s v="Argentina"/>
    <n v="4"/>
    <n v="3"/>
    <s v="FIFA World Cup"/>
    <s v="Kazan"/>
    <s v="Russia"/>
    <b v="1"/>
    <n v="2018"/>
    <n v="2781576320884.3901"/>
    <n v="524819892360.17603"/>
    <n v="1"/>
  </r>
  <r>
    <n v="885"/>
    <d v="2018-06-30T00:00:00"/>
    <x v="5"/>
    <x v="14"/>
    <s v="Portugal"/>
    <n v="2"/>
    <n v="1"/>
    <s v="FIFA World Cup"/>
    <s v="Sochi"/>
    <s v="Russia"/>
    <b v="1"/>
    <n v="2018"/>
    <n v="65344577415.753502"/>
    <n v="242092894542.888"/>
    <n v="-1"/>
  </r>
  <r>
    <n v="887"/>
    <d v="2018-07-01T00:00:00"/>
    <x v="5"/>
    <x v="43"/>
    <s v="Denmark"/>
    <n v="1"/>
    <n v="1"/>
    <s v="FIFA World Cup"/>
    <s v="Nizhny Novgorod"/>
    <s v="Russia"/>
    <b v="1"/>
    <n v="2018"/>
    <n v="61667925219.0755"/>
    <n v="355293374912.39301"/>
    <n v="0"/>
  </r>
  <r>
    <n v="888"/>
    <d v="2018-07-02T00:00:00"/>
    <x v="5"/>
    <x v="0"/>
    <s v="Mexico"/>
    <n v="2"/>
    <n v="0"/>
    <s v="FIFA World Cup"/>
    <s v="Samara"/>
    <s v="Russia"/>
    <b v="1"/>
    <n v="2018"/>
    <n v="1916933708352.71"/>
    <n v="1256300182879.73"/>
    <n v="1"/>
  </r>
  <r>
    <n v="889"/>
    <d v="2018-07-02T00:00:00"/>
    <x v="5"/>
    <x v="11"/>
    <s v="Japan"/>
    <n v="3"/>
    <n v="2"/>
    <s v="FIFA World Cup"/>
    <s v="Rostov-on-Don"/>
    <s v="Russia"/>
    <b v="1"/>
    <n v="2018"/>
    <n v="542638913427.92102"/>
    <n v="5040880939324.8604"/>
    <n v="-1"/>
  </r>
  <r>
    <n v="890"/>
    <d v="2018-07-03T00:00:00"/>
    <x v="5"/>
    <x v="13"/>
    <s v="Switzerland"/>
    <n v="1"/>
    <n v="0"/>
    <s v="FIFA World Cup"/>
    <s v="Saint Petersburg"/>
    <s v="Russia"/>
    <b v="1"/>
    <n v="2018"/>
    <n v="549649344043.18201"/>
    <n v="725568717468.00098"/>
    <n v="-1"/>
  </r>
  <r>
    <n v="891"/>
    <d v="2018-07-03T00:00:00"/>
    <x v="5"/>
    <x v="2"/>
    <s v="England"/>
    <n v="1"/>
    <n v="1"/>
    <s v="FIFA World Cup"/>
    <s v="Moscow"/>
    <s v="Russia"/>
    <b v="1"/>
    <n v="2018"/>
    <n v="334198218098.276"/>
    <n v="2897028009916.0498"/>
    <n v="0"/>
  </r>
  <r>
    <n v="892"/>
    <d v="2018-07-06T00:00:00"/>
    <x v="5"/>
    <x v="14"/>
    <s v="France"/>
    <n v="0"/>
    <n v="2"/>
    <s v="FIFA World Cup"/>
    <s v="Nizhny Novgorod"/>
    <s v="Russia"/>
    <b v="1"/>
    <n v="2018"/>
    <n v="65344577415.753502"/>
    <n v="2781576320884.3901"/>
    <n v="1"/>
  </r>
  <r>
    <n v="893"/>
    <d v="2018-07-06T00:00:00"/>
    <x v="5"/>
    <x v="0"/>
    <s v="Belgium"/>
    <n v="1"/>
    <n v="2"/>
    <s v="FIFA World Cup"/>
    <s v="Kazan"/>
    <s v="Russia"/>
    <b v="1"/>
    <n v="2018"/>
    <n v="1916933708352.71"/>
    <n v="542638913427.92102"/>
    <n v="-1"/>
  </r>
  <r>
    <n v="894"/>
    <d v="2018-07-07T00:00:00"/>
    <x v="5"/>
    <x v="13"/>
    <s v="England"/>
    <n v="0"/>
    <n v="2"/>
    <s v="FIFA World Cup"/>
    <s v="Samara"/>
    <s v="Russia"/>
    <b v="1"/>
    <n v="2018"/>
    <n v="549649344043.18201"/>
    <n v="2897028009916.0498"/>
    <n v="1"/>
  </r>
  <r>
    <n v="896"/>
    <d v="2018-07-10T00:00:00"/>
    <x v="5"/>
    <x v="8"/>
    <s v="Belgium"/>
    <n v="1"/>
    <n v="0"/>
    <s v="FIFA World Cup"/>
    <s v="Saint Petersburg"/>
    <s v="Russia"/>
    <b v="1"/>
    <n v="2018"/>
    <n v="2781576320884.3901"/>
    <n v="542638913427.92102"/>
    <n v="1"/>
  </r>
  <r>
    <n v="897"/>
    <d v="2018-07-11T00:00:00"/>
    <x v="5"/>
    <x v="43"/>
    <s v="England"/>
    <n v="2"/>
    <n v="1"/>
    <s v="FIFA World Cup"/>
    <s v="Moscow"/>
    <s v="Russia"/>
    <b v="1"/>
    <n v="2018"/>
    <n v="61667925219.0755"/>
    <n v="2897028009916.0498"/>
    <n v="-1"/>
  </r>
  <r>
    <n v="898"/>
    <d v="2018-07-14T00:00:00"/>
    <x v="5"/>
    <x v="11"/>
    <s v="England"/>
    <n v="2"/>
    <n v="0"/>
    <s v="FIFA World Cup"/>
    <s v="Saint Petersburg"/>
    <s v="Russia"/>
    <b v="1"/>
    <n v="2018"/>
    <n v="542638913427.92102"/>
    <n v="2897028009916.0498"/>
    <n v="-1"/>
  </r>
  <r>
    <n v="899"/>
    <d v="2018-07-15T00:00:00"/>
    <x v="5"/>
    <x v="8"/>
    <s v="Croatia"/>
    <n v="4"/>
    <n v="2"/>
    <s v="FIFA World Cup"/>
    <s v="Moscow"/>
    <s v="Russia"/>
    <b v="1"/>
    <n v="2018"/>
    <n v="2781576320884.3901"/>
    <n v="61667925219.0755"/>
    <n v="1"/>
  </r>
  <r>
    <n v="900"/>
    <d v="2022-11-20T00:00:00"/>
    <x v="6"/>
    <x v="61"/>
    <s v="Ecuador"/>
    <n v="0"/>
    <n v="2"/>
    <s v="FIFA World Cup"/>
    <s v="Al Khor"/>
    <s v="Qatar"/>
    <b v="0"/>
    <n v="2022"/>
    <n v="235709340659.341"/>
    <n v="116133121000"/>
    <n v="-1"/>
  </r>
  <r>
    <n v="901"/>
    <d v="2022-11-21T00:00:00"/>
    <x v="6"/>
    <x v="46"/>
    <s v="Netherlands"/>
    <n v="0"/>
    <n v="2"/>
    <s v="FIFA World Cup"/>
    <s v="Doha"/>
    <s v="Qatar"/>
    <b v="1"/>
    <n v="2022"/>
    <n v="27783332222.6759"/>
    <n v="1046540797548.64"/>
    <n v="1"/>
  </r>
  <r>
    <n v="902"/>
    <d v="2022-11-21T00:00:00"/>
    <x v="6"/>
    <x v="7"/>
    <s v="Iran"/>
    <n v="6"/>
    <n v="2"/>
    <s v="FIFA World Cup"/>
    <s v="Al Rayyan"/>
    <s v="Qatar"/>
    <b v="1"/>
    <n v="2022"/>
    <n v="3181244350465.4102"/>
    <n v="422662261525.66498"/>
    <n v="1"/>
  </r>
  <r>
    <n v="904"/>
    <d v="2022-11-22T00:00:00"/>
    <x v="6"/>
    <x v="4"/>
    <s v="Saudi Arabia"/>
    <n v="1"/>
    <n v="2"/>
    <s v="FIFA World Cup"/>
    <s v="Lusail"/>
    <s v="Qatar"/>
    <b v="1"/>
    <n v="2022"/>
    <n v="633993756301.07996"/>
    <n v="1239075200000"/>
    <n v="1"/>
  </r>
  <r>
    <n v="905"/>
    <d v="2022-11-22T00:00:00"/>
    <x v="6"/>
    <x v="5"/>
    <s v="Poland"/>
    <n v="0"/>
    <n v="0"/>
    <s v="FIFA World Cup"/>
    <s v="Doha"/>
    <s v="Qatar"/>
    <b v="1"/>
    <n v="2022"/>
    <n v="1466934724293.0601"/>
    <n v="695607470875.276"/>
    <n v="0"/>
  </r>
  <r>
    <n v="906"/>
    <d v="2022-11-22T00:00:00"/>
    <x v="6"/>
    <x v="26"/>
    <s v="Tunisia"/>
    <n v="0"/>
    <n v="0"/>
    <s v="FIFA World Cup"/>
    <s v="Al Rayyan"/>
    <s v="Qatar"/>
    <b v="1"/>
    <n v="2022"/>
    <n v="400114306337.07703"/>
    <n v="44929920092.795502"/>
    <n v="0"/>
  </r>
  <r>
    <n v="907"/>
    <d v="2022-11-22T00:00:00"/>
    <x v="6"/>
    <x v="8"/>
    <s v="Australia"/>
    <n v="4"/>
    <n v="1"/>
    <s v="FIFA World Cup"/>
    <s v="Al Wakrah"/>
    <s v="Qatar"/>
    <b v="1"/>
    <n v="2022"/>
    <n v="2794788137066.9399"/>
    <n v="1695627535475.8"/>
    <n v="1"/>
  </r>
  <r>
    <n v="908"/>
    <d v="2022-11-23T00:00:00"/>
    <x v="6"/>
    <x v="3"/>
    <s v="Japan"/>
    <n v="1"/>
    <n v="2"/>
    <s v="FIFA World Cup"/>
    <s v="Al Rayyan"/>
    <s v="Qatar"/>
    <b v="1"/>
    <n v="2022"/>
    <n v="4201021706478.6201"/>
    <n v="4262463317796.5298"/>
    <n v="1"/>
  </r>
  <r>
    <n v="909"/>
    <d v="2022-11-23T00:00:00"/>
    <x v="6"/>
    <x v="9"/>
    <s v="Costa Rica"/>
    <n v="7"/>
    <n v="0"/>
    <s v="FIFA World Cup"/>
    <s v="Doha"/>
    <s v="Qatar"/>
    <b v="1"/>
    <n v="2022"/>
    <n v="1448850658406.6201"/>
    <n v="69243626028.593597"/>
    <n v="1"/>
  </r>
  <r>
    <n v="910"/>
    <d v="2022-11-23T00:00:00"/>
    <x v="6"/>
    <x v="12"/>
    <s v="Croatia"/>
    <n v="0"/>
    <n v="0"/>
    <s v="FIFA World Cup"/>
    <s v="Al Khor"/>
    <s v="Qatar"/>
    <b v="1"/>
    <n v="2022"/>
    <n v="131245312804.483"/>
    <n v="71196498671.114502"/>
    <n v="0"/>
  </r>
  <r>
    <n v="911"/>
    <d v="2022-11-23T00:00:00"/>
    <x v="6"/>
    <x v="11"/>
    <s v="Canada"/>
    <n v="1"/>
    <n v="0"/>
    <s v="FIFA World Cup"/>
    <s v="Al Rayyan"/>
    <s v="Qatar"/>
    <b v="1"/>
    <n v="2022"/>
    <n v="591085783326.26697"/>
    <n v="2190411080134.3201"/>
    <n v="-1"/>
  </r>
  <r>
    <n v="912"/>
    <d v="2022-11-24T00:00:00"/>
    <x v="6"/>
    <x v="36"/>
    <s v="Cameroon"/>
    <n v="1"/>
    <n v="0"/>
    <s v="FIFA World Cup"/>
    <s v="Al Wakrah"/>
    <s v="Qatar"/>
    <b v="1"/>
    <n v="2022"/>
    <n v="828508926958.39294"/>
    <n v="44347206072.5513"/>
    <n v="1"/>
  </r>
  <r>
    <n v="913"/>
    <d v="2022-11-24T00:00:00"/>
    <x v="6"/>
    <x v="0"/>
    <s v="Serbia"/>
    <n v="2"/>
    <n v="0"/>
    <s v="FIFA World Cup"/>
    <s v="Lusail"/>
    <s v="Qatar"/>
    <b v="1"/>
    <n v="2022"/>
    <n v="1951923832083.8701"/>
    <n v="66809895701.215202"/>
    <n v="1"/>
  </r>
  <r>
    <n v="915"/>
    <d v="2022-11-24T00:00:00"/>
    <x v="6"/>
    <x v="24"/>
    <s v="Ghana"/>
    <n v="3"/>
    <n v="2"/>
    <s v="FIFA World Cup"/>
    <s v="Doha"/>
    <s v="Qatar"/>
    <b v="1"/>
    <n v="2022"/>
    <n v="256898677175.02399"/>
    <n v="73919003209.986603"/>
    <n v="1"/>
  </r>
  <r>
    <n v="916"/>
    <d v="2022-11-25T00:00:00"/>
    <x v="6"/>
    <x v="61"/>
    <s v="Senegal"/>
    <n v="1"/>
    <n v="3"/>
    <s v="FIFA World Cup"/>
    <s v="Doha"/>
    <s v="Qatar"/>
    <b v="0"/>
    <n v="2022"/>
    <n v="235709340659.341"/>
    <n v="27783332222.6759"/>
    <n v="-1"/>
  </r>
  <r>
    <n v="917"/>
    <d v="2022-11-25T00:00:00"/>
    <x v="6"/>
    <x v="15"/>
    <s v="Ecuador"/>
    <n v="1"/>
    <n v="1"/>
    <s v="FIFA World Cup"/>
    <s v="Al Rayyan"/>
    <s v="Qatar"/>
    <b v="1"/>
    <n v="2022"/>
    <n v="1046540797548.64"/>
    <n v="116133121000"/>
    <n v="0"/>
  </r>
  <r>
    <n v="919"/>
    <d v="2022-11-25T00:00:00"/>
    <x v="6"/>
    <x v="7"/>
    <s v="United States"/>
    <n v="0"/>
    <n v="0"/>
    <s v="FIFA World Cup"/>
    <s v="Al Khor"/>
    <s v="Qatar"/>
    <b v="1"/>
    <n v="2022"/>
    <n v="3181244350465.4102"/>
    <n v="25604848907611"/>
    <n v="0"/>
  </r>
  <r>
    <n v="920"/>
    <d v="2022-11-26T00:00:00"/>
    <x v="6"/>
    <x v="50"/>
    <s v="Saudi Arabia"/>
    <n v="2"/>
    <n v="0"/>
    <s v="FIFA World Cup"/>
    <s v="Al Rayyan"/>
    <s v="Qatar"/>
    <b v="1"/>
    <n v="2022"/>
    <n v="695607470875.276"/>
    <n v="1239075200000"/>
    <n v="-1"/>
  </r>
  <r>
    <n v="921"/>
    <d v="2022-11-26T00:00:00"/>
    <x v="6"/>
    <x v="4"/>
    <s v="Mexico"/>
    <n v="2"/>
    <n v="0"/>
    <s v="FIFA World Cup"/>
    <s v="Lusail"/>
    <s v="Qatar"/>
    <b v="1"/>
    <n v="2022"/>
    <n v="633993756301.07996"/>
    <n v="1466934724293.0601"/>
    <n v="-1"/>
  </r>
  <r>
    <n v="922"/>
    <d v="2022-11-26T00:00:00"/>
    <x v="6"/>
    <x v="45"/>
    <s v="Australia"/>
    <n v="0"/>
    <n v="1"/>
    <s v="FIFA World Cup"/>
    <s v="Al Wakrah"/>
    <s v="Qatar"/>
    <b v="1"/>
    <n v="2022"/>
    <n v="44929920092.795502"/>
    <n v="1695627535475.8"/>
    <n v="1"/>
  </r>
  <r>
    <n v="923"/>
    <d v="2022-11-26T00:00:00"/>
    <x v="6"/>
    <x v="8"/>
    <s v="Denmark"/>
    <n v="2"/>
    <n v="1"/>
    <s v="FIFA World Cup"/>
    <s v="Doha"/>
    <s v="Qatar"/>
    <b v="1"/>
    <n v="2022"/>
    <n v="2794788137066.9399"/>
    <n v="400114306337.07703"/>
    <n v="1"/>
  </r>
  <r>
    <n v="924"/>
    <d v="2022-11-27T00:00:00"/>
    <x v="6"/>
    <x v="42"/>
    <s v="Costa Rica"/>
    <n v="0"/>
    <n v="1"/>
    <s v="FIFA World Cup"/>
    <s v="Al Rayyan"/>
    <s v="Qatar"/>
    <b v="1"/>
    <n v="2022"/>
    <n v="4262463317796.5298"/>
    <n v="69243626028.593597"/>
    <n v="-1"/>
  </r>
  <r>
    <n v="925"/>
    <d v="2022-11-27T00:00:00"/>
    <x v="6"/>
    <x v="9"/>
    <s v="Germany"/>
    <n v="1"/>
    <n v="1"/>
    <s v="FIFA World Cup"/>
    <s v="Al Khor"/>
    <s v="Qatar"/>
    <b v="1"/>
    <n v="2022"/>
    <n v="1448850658406.6201"/>
    <n v="4201021706478.6201"/>
    <n v="0"/>
  </r>
  <r>
    <n v="926"/>
    <d v="2022-11-27T00:00:00"/>
    <x v="6"/>
    <x v="11"/>
    <s v="Morocco"/>
    <n v="0"/>
    <n v="2"/>
    <s v="FIFA World Cup"/>
    <s v="Doha"/>
    <s v="Qatar"/>
    <b v="1"/>
    <n v="2022"/>
    <n v="591085783326.26697"/>
    <n v="131245312804.483"/>
    <n v="-1"/>
  </r>
  <r>
    <n v="927"/>
    <d v="2022-11-27T00:00:00"/>
    <x v="6"/>
    <x v="43"/>
    <s v="Canada"/>
    <n v="4"/>
    <n v="1"/>
    <s v="FIFA World Cup"/>
    <s v="Al Rayyan"/>
    <s v="Qatar"/>
    <b v="1"/>
    <n v="2022"/>
    <n v="71196498671.114502"/>
    <n v="2190411080134.3201"/>
    <n v="-1"/>
  </r>
  <r>
    <n v="928"/>
    <d v="2022-11-28T00:00:00"/>
    <x v="6"/>
    <x v="30"/>
    <s v="Serbia"/>
    <n v="3"/>
    <n v="3"/>
    <s v="FIFA World Cup"/>
    <s v="Al Wakrah"/>
    <s v="Qatar"/>
    <b v="1"/>
    <n v="2022"/>
    <n v="44347206072.5513"/>
    <n v="66809895701.215202"/>
    <n v="0"/>
  </r>
  <r>
    <n v="929"/>
    <d v="2022-11-28T00:00:00"/>
    <x v="6"/>
    <x v="0"/>
    <s v="Switzerland"/>
    <n v="1"/>
    <n v="0"/>
    <s v="FIFA World Cup"/>
    <s v="Doha"/>
    <s v="Qatar"/>
    <b v="1"/>
    <n v="2022"/>
    <n v="1951923832083.8701"/>
    <n v="828508926958.39294"/>
    <n v="1"/>
  </r>
  <r>
    <n v="931"/>
    <d v="2022-11-28T00:00:00"/>
    <x v="6"/>
    <x v="24"/>
    <s v="Uruguay"/>
    <n v="2"/>
    <n v="0"/>
    <s v="FIFA World Cup"/>
    <s v="Lusail"/>
    <s v="Qatar"/>
    <b v="1"/>
    <n v="2022"/>
    <n v="256898677175.02399"/>
    <n v="70594110920.035797"/>
    <n v="1"/>
  </r>
  <r>
    <n v="932"/>
    <d v="2022-11-29T00:00:00"/>
    <x v="6"/>
    <x v="49"/>
    <s v="Senegal"/>
    <n v="1"/>
    <n v="2"/>
    <s v="FIFA World Cup"/>
    <s v="Al Rayyan"/>
    <s v="Qatar"/>
    <b v="1"/>
    <n v="2022"/>
    <n v="116133121000"/>
    <n v="27783332222.6759"/>
    <n v="-1"/>
  </r>
  <r>
    <n v="933"/>
    <d v="2022-11-29T00:00:00"/>
    <x v="6"/>
    <x v="61"/>
    <s v="Netherlands"/>
    <n v="0"/>
    <n v="2"/>
    <s v="FIFA World Cup"/>
    <s v="Al Khor"/>
    <s v="Qatar"/>
    <b v="0"/>
    <n v="2022"/>
    <n v="235709340659.341"/>
    <n v="1046540797548.64"/>
    <n v="1"/>
  </r>
  <r>
    <n v="935"/>
    <d v="2022-11-29T00:00:00"/>
    <x v="6"/>
    <x v="18"/>
    <s v="United States"/>
    <n v="0"/>
    <n v="1"/>
    <s v="FIFA World Cup"/>
    <s v="Doha"/>
    <s v="Qatar"/>
    <b v="1"/>
    <n v="2022"/>
    <n v="422662261525.66498"/>
    <n v="25604848907611"/>
    <n v="1"/>
  </r>
  <r>
    <n v="936"/>
    <d v="2022-11-30T00:00:00"/>
    <x v="6"/>
    <x v="50"/>
    <s v="Argentina"/>
    <n v="0"/>
    <n v="2"/>
    <s v="FIFA World Cup"/>
    <s v="Doha"/>
    <s v="Qatar"/>
    <b v="1"/>
    <n v="2022"/>
    <n v="695607470875.276"/>
    <n v="633993756301.07996"/>
    <n v="-1"/>
  </r>
  <r>
    <n v="937"/>
    <d v="2022-11-30T00:00:00"/>
    <x v="6"/>
    <x v="35"/>
    <s v="Mexico"/>
    <n v="1"/>
    <n v="2"/>
    <s v="FIFA World Cup"/>
    <s v="Lusail"/>
    <s v="Qatar"/>
    <b v="1"/>
    <n v="2022"/>
    <n v="1239075200000"/>
    <n v="1466934724293.0601"/>
    <n v="1"/>
  </r>
  <r>
    <n v="938"/>
    <d v="2022-11-30T00:00:00"/>
    <x v="6"/>
    <x v="16"/>
    <s v="Denmark"/>
    <n v="1"/>
    <n v="0"/>
    <s v="FIFA World Cup"/>
    <s v="Al Wakrah"/>
    <s v="Qatar"/>
    <b v="1"/>
    <n v="2022"/>
    <n v="1695627535475.8"/>
    <n v="400114306337.07703"/>
    <n v="1"/>
  </r>
  <r>
    <n v="939"/>
    <d v="2022-11-30T00:00:00"/>
    <x v="6"/>
    <x v="45"/>
    <s v="France"/>
    <n v="1"/>
    <n v="0"/>
    <s v="FIFA World Cup"/>
    <s v="Al Rayyan"/>
    <s v="Qatar"/>
    <b v="1"/>
    <n v="2022"/>
    <n v="44929920092.795502"/>
    <n v="2794788137066.9399"/>
    <n v="-1"/>
  </r>
  <r>
    <n v="940"/>
    <d v="2022-12-01T00:00:00"/>
    <x v="6"/>
    <x v="42"/>
    <s v="Spain"/>
    <n v="2"/>
    <n v="1"/>
    <s v="FIFA World Cup"/>
    <s v="Al Rayyan"/>
    <s v="Qatar"/>
    <b v="1"/>
    <n v="2022"/>
    <n v="4262463317796.5298"/>
    <n v="1448850658406.6201"/>
    <n v="1"/>
  </r>
  <r>
    <n v="941"/>
    <d v="2022-12-01T00:00:00"/>
    <x v="6"/>
    <x v="48"/>
    <s v="Germany"/>
    <n v="2"/>
    <n v="4"/>
    <s v="FIFA World Cup"/>
    <s v="Al Khor"/>
    <s v="Qatar"/>
    <b v="1"/>
    <n v="2022"/>
    <n v="69243626028.593597"/>
    <n v="4201021706478.6201"/>
    <n v="1"/>
  </r>
  <r>
    <n v="942"/>
    <d v="2022-12-01T00:00:00"/>
    <x v="6"/>
    <x v="43"/>
    <s v="Belgium"/>
    <n v="0"/>
    <n v="0"/>
    <s v="FIFA World Cup"/>
    <s v="Al Rayyan"/>
    <s v="Qatar"/>
    <b v="1"/>
    <n v="2022"/>
    <n v="71196498671.114502"/>
    <n v="591085783326.26697"/>
    <n v="0"/>
  </r>
  <r>
    <n v="943"/>
    <d v="2022-12-01T00:00:00"/>
    <x v="6"/>
    <x v="23"/>
    <s v="Morocco"/>
    <n v="1"/>
    <n v="2"/>
    <s v="FIFA World Cup"/>
    <s v="Doha"/>
    <s v="Qatar"/>
    <b v="1"/>
    <n v="2022"/>
    <n v="2190411080134.3201"/>
    <n v="131245312804.483"/>
    <n v="-1"/>
  </r>
  <r>
    <n v="944"/>
    <d v="2022-12-02T00:00:00"/>
    <x v="6"/>
    <x v="40"/>
    <s v="Switzerland"/>
    <n v="2"/>
    <n v="3"/>
    <s v="FIFA World Cup"/>
    <s v="Doha"/>
    <s v="Qatar"/>
    <b v="1"/>
    <n v="2022"/>
    <n v="66809895701.215202"/>
    <n v="828508926958.39294"/>
    <n v="1"/>
  </r>
  <r>
    <n v="945"/>
    <d v="2022-12-02T00:00:00"/>
    <x v="6"/>
    <x v="30"/>
    <s v="Brazil"/>
    <n v="1"/>
    <n v="0"/>
    <s v="FIFA World Cup"/>
    <s v="Lusail"/>
    <s v="Qatar"/>
    <b v="1"/>
    <n v="2022"/>
    <n v="44347206072.5513"/>
    <n v="1951923832083.8701"/>
    <n v="-1"/>
  </r>
  <r>
    <n v="946"/>
    <d v="2022-12-02T00:00:00"/>
    <x v="6"/>
    <x v="54"/>
    <s v="Uruguay"/>
    <n v="0"/>
    <n v="2"/>
    <s v="FIFA World Cup"/>
    <s v="Al Wakrah"/>
    <s v="Qatar"/>
    <b v="1"/>
    <n v="2022"/>
    <n v="73919003209.986603"/>
    <n v="70594110920.035797"/>
    <n v="-1"/>
  </r>
  <r>
    <n v="948"/>
    <d v="2022-12-03T00:00:00"/>
    <x v="6"/>
    <x v="15"/>
    <s v="United States"/>
    <n v="3"/>
    <n v="1"/>
    <s v="FIFA World Cup"/>
    <s v="Al Rayyan"/>
    <s v="Qatar"/>
    <b v="1"/>
    <n v="2022"/>
    <n v="1046540797548.64"/>
    <n v="25604848907611"/>
    <n v="-1"/>
  </r>
  <r>
    <n v="949"/>
    <d v="2022-12-03T00:00:00"/>
    <x v="6"/>
    <x v="4"/>
    <s v="Australia"/>
    <n v="2"/>
    <n v="1"/>
    <s v="FIFA World Cup"/>
    <s v="Al Rayyan"/>
    <s v="Qatar"/>
    <b v="1"/>
    <n v="2022"/>
    <n v="633993756301.07996"/>
    <n v="1695627535475.8"/>
    <n v="-1"/>
  </r>
  <r>
    <n v="950"/>
    <d v="2022-12-04T00:00:00"/>
    <x v="6"/>
    <x v="8"/>
    <s v="Poland"/>
    <n v="3"/>
    <n v="1"/>
    <s v="FIFA World Cup"/>
    <s v="Doha"/>
    <s v="Qatar"/>
    <b v="1"/>
    <n v="2022"/>
    <n v="2794788137066.9399"/>
    <n v="695607470875.276"/>
    <n v="1"/>
  </r>
  <r>
    <n v="951"/>
    <d v="2022-12-04T00:00:00"/>
    <x v="6"/>
    <x v="7"/>
    <s v="Senegal"/>
    <n v="3"/>
    <n v="0"/>
    <s v="FIFA World Cup"/>
    <s v="Al Khor"/>
    <s v="Qatar"/>
    <b v="1"/>
    <n v="2022"/>
    <n v="3181244350465.4102"/>
    <n v="27783332222.6759"/>
    <n v="1"/>
  </r>
  <r>
    <n v="952"/>
    <d v="2022-12-05T00:00:00"/>
    <x v="6"/>
    <x v="42"/>
    <s v="Croatia"/>
    <n v="1"/>
    <n v="1"/>
    <s v="FIFA World Cup"/>
    <s v="Al Wakrah"/>
    <s v="Qatar"/>
    <b v="1"/>
    <n v="2022"/>
    <n v="4262463317796.5298"/>
    <n v="71196498671.114502"/>
    <n v="0"/>
  </r>
  <r>
    <n v="954"/>
    <d v="2022-12-06T00:00:00"/>
    <x v="6"/>
    <x v="12"/>
    <s v="Spain"/>
    <n v="0"/>
    <n v="0"/>
    <s v="FIFA World Cup"/>
    <s v="Al Rayyan"/>
    <s v="Qatar"/>
    <b v="1"/>
    <n v="2022"/>
    <n v="131245312804.483"/>
    <n v="1448850658406.6201"/>
    <n v="0"/>
  </r>
  <r>
    <n v="955"/>
    <d v="2022-12-06T00:00:00"/>
    <x v="6"/>
    <x v="24"/>
    <s v="Switzerland"/>
    <n v="6"/>
    <n v="1"/>
    <s v="FIFA World Cup"/>
    <s v="Lusail"/>
    <s v="Qatar"/>
    <b v="1"/>
    <n v="2022"/>
    <n v="256898677175.02399"/>
    <n v="828508926958.39294"/>
    <n v="-1"/>
  </r>
  <r>
    <n v="956"/>
    <d v="2022-12-09T00:00:00"/>
    <x v="6"/>
    <x v="43"/>
    <s v="Brazil"/>
    <n v="1"/>
    <n v="1"/>
    <s v="FIFA World Cup"/>
    <s v="Al Rayyan"/>
    <s v="Qatar"/>
    <b v="1"/>
    <n v="2022"/>
    <n v="71196498671.114502"/>
    <n v="1951923832083.8701"/>
    <n v="0"/>
  </r>
  <r>
    <n v="957"/>
    <d v="2022-12-09T00:00:00"/>
    <x v="6"/>
    <x v="15"/>
    <s v="Argentina"/>
    <n v="2"/>
    <n v="2"/>
    <s v="FIFA World Cup"/>
    <s v="Lusail"/>
    <s v="Qatar"/>
    <b v="1"/>
    <n v="2022"/>
    <n v="1046540797548.64"/>
    <n v="633993756301.07996"/>
    <n v="0"/>
  </r>
  <r>
    <n v="958"/>
    <d v="2022-12-10T00:00:00"/>
    <x v="6"/>
    <x v="12"/>
    <s v="Portugal"/>
    <n v="1"/>
    <n v="0"/>
    <s v="FIFA World Cup"/>
    <s v="Doha"/>
    <s v="Qatar"/>
    <b v="1"/>
    <n v="2022"/>
    <n v="131245312804.483"/>
    <n v="256898677175.02399"/>
    <n v="-1"/>
  </r>
  <r>
    <n v="959"/>
    <d v="2022-12-10T00:00:00"/>
    <x v="6"/>
    <x v="7"/>
    <s v="France"/>
    <n v="1"/>
    <n v="2"/>
    <s v="FIFA World Cup"/>
    <s v="Al Khor"/>
    <s v="Qatar"/>
    <b v="1"/>
    <n v="2022"/>
    <n v="3181244350465.4102"/>
    <n v="2794788137066.9399"/>
    <n v="-1"/>
  </r>
  <r>
    <n v="960"/>
    <d v="2022-12-13T00:00:00"/>
    <x v="6"/>
    <x v="4"/>
    <s v="Croatia"/>
    <n v="3"/>
    <n v="0"/>
    <s v="FIFA World Cup"/>
    <s v="Lusail"/>
    <s v="Qatar"/>
    <b v="1"/>
    <n v="2022"/>
    <n v="633993756301.07996"/>
    <n v="71196498671.114502"/>
    <n v="1"/>
  </r>
  <r>
    <n v="961"/>
    <d v="2022-12-14T00:00:00"/>
    <x v="6"/>
    <x v="8"/>
    <s v="Morocco"/>
    <n v="2"/>
    <n v="0"/>
    <s v="FIFA World Cup"/>
    <s v="Al Khor"/>
    <s v="Qatar"/>
    <b v="1"/>
    <n v="2022"/>
    <n v="2794788137066.9399"/>
    <n v="131245312804.483"/>
    <n v="1"/>
  </r>
  <r>
    <n v="962"/>
    <d v="2022-12-17T00:00:00"/>
    <x v="6"/>
    <x v="43"/>
    <s v="Morocco"/>
    <n v="2"/>
    <n v="1"/>
    <s v="FIFA World Cup"/>
    <s v="Al Rayyan"/>
    <s v="Qatar"/>
    <b v="1"/>
    <n v="2022"/>
    <n v="71196498671.114502"/>
    <n v="131245312804.483"/>
    <n v="-1"/>
  </r>
  <r>
    <n v="963"/>
    <d v="2022-12-18T00:00:00"/>
    <x v="6"/>
    <x v="4"/>
    <s v="France"/>
    <n v="3"/>
    <n v="3"/>
    <s v="FIFA World Cup"/>
    <s v="Lusail"/>
    <s v="Qatar"/>
    <b v="1"/>
    <n v="2022"/>
    <n v="633993756301.07996"/>
    <n v="2794788137066.9399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846636-1011-46F6-9231-756CC65E66AA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1" firstHeaderRow="1" firstDataRow="1" firstDataCol="1" rowPageCount="1" colPageCount="1"/>
  <pivotFields count="15">
    <pivotField showAll="0"/>
    <pivotField numFmtId="164" showAll="0"/>
    <pivotField axis="axisRow" numFmtId="2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Page" multipleItemSelectionAllowed="1" showAll="0">
      <items count="63">
        <item x="21"/>
        <item x="52"/>
        <item x="4"/>
        <item x="16"/>
        <item x="17"/>
        <item x="11"/>
        <item x="37"/>
        <item x="57"/>
        <item x="0"/>
        <item x="22"/>
        <item x="30"/>
        <item x="23"/>
        <item x="1"/>
        <item x="44"/>
        <item x="2"/>
        <item x="48"/>
        <item x="43"/>
        <item x="31"/>
        <item x="26"/>
        <item x="49"/>
        <item x="58"/>
        <item x="7"/>
        <item x="8"/>
        <item x="3"/>
        <item x="54"/>
        <item x="38"/>
        <item x="56"/>
        <item x="19"/>
        <item x="59"/>
        <item x="18"/>
        <item x="27"/>
        <item x="10"/>
        <item x="6"/>
        <item x="39"/>
        <item x="42"/>
        <item x="5"/>
        <item x="12"/>
        <item x="15"/>
        <item x="33"/>
        <item x="32"/>
        <item x="60"/>
        <item x="25"/>
        <item x="20"/>
        <item x="50"/>
        <item x="24"/>
        <item x="61"/>
        <item x="34"/>
        <item x="35"/>
        <item x="46"/>
        <item x="40"/>
        <item x="47"/>
        <item x="41"/>
        <item x="9"/>
        <item x="13"/>
        <item x="36"/>
        <item x="53"/>
        <item x="51"/>
        <item x="45"/>
        <item x="55"/>
        <item x="28"/>
        <item x="29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showAll="0"/>
    <pivotField dataField="1"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Average of Wealthier_Winner" fld="14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07C1D-28C5-4698-9D8B-698C274239E1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C11" firstHeaderRow="0" firstDataRow="1" firstDataCol="1"/>
  <pivotFields count="6"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dataField="1" numFmtId="9" showAll="0"/>
    <pivotField numFmtId="9" showAll="0"/>
    <pivotField dataField="1" numFmtId="9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Wealthier_Win_Percent" fld="3" subtotal="average" baseField="1" baseItem="0" numFmtId="9"/>
    <dataField name="Average of Wealthier_Lose_Percent" fld="5" subtotal="average" baseField="1" baseItem="4" numFmtId="9"/>
  </dataFields>
  <chartFormats count="6"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43C68B-662F-4D8B-899F-51AEFDD314B1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D11" firstHeaderRow="0" firstDataRow="1" firstDataCol="1"/>
  <pivotFields count="6"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dataField="1" numFmtId="9" showAll="0"/>
    <pivotField dataField="1" numFmtId="9" showAll="0"/>
    <pivotField dataField="1" numFmtId="9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Wealthier_Win_Percent" fld="3" subtotal="average" baseField="1" baseItem="0" numFmtId="9"/>
    <dataField name="Average of Wealthier_Tie_Percent" fld="4" subtotal="average" baseField="0" baseItem="0" numFmtId="9"/>
    <dataField name="Average of Wealthier_Lose_Percent" fld="5" subtotal="average" baseField="1" baseItem="4" numFmtId="9"/>
  </dataFields>
  <chartFormats count="9"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6E33E-2181-41BC-A473-167C9E83CEEF}" name="Table1" displayName="Table1" ref="A1:O614" totalsRowShown="0" headerRowDxfId="5">
  <autoFilter ref="A1:O614" xr:uid="{3B06E33E-2181-41BC-A473-167C9E83CEEF}"/>
  <tableColumns count="15">
    <tableColumn id="1" xr3:uid="{BDB2CFAB-2CC4-454C-BC73-9B3C1810CD4A}" name="ID" dataDxfId="2"/>
    <tableColumn id="2" xr3:uid="{544E9BDC-0774-4C6D-801B-88900B6D077C}" name="date" dataDxfId="1"/>
    <tableColumn id="16" xr3:uid="{71903EC8-485D-4A50-90ED-5B0A1EA4EA94}" name="decade" dataDxfId="0">
      <calculatedColumnFormula>_xlfn.FLOOR.MATH([1]!Table1[[#This Row],[year]],10)</calculatedColumnFormula>
    </tableColumn>
    <tableColumn id="3" xr3:uid="{CFD3AEAA-36DF-4D7C-A364-10EFA17488E2}" name="home_team"/>
    <tableColumn id="4" xr3:uid="{20E9B68D-4716-410A-95C9-ECB4A95DD4F9}" name="away_team"/>
    <tableColumn id="5" xr3:uid="{57979CDB-7477-40B6-ACFC-B75DE14EE536}" name="home_score"/>
    <tableColumn id="6" xr3:uid="{570A963D-DA73-4E0F-828B-3E1D296B01AA}" name="away_score"/>
    <tableColumn id="7" xr3:uid="{18FF02DC-C901-4535-912B-F2FEA9F5D0F3}" name="tournament"/>
    <tableColumn id="8" xr3:uid="{AE5A3FF5-6436-4592-B1F5-1707616173F6}" name="city"/>
    <tableColumn id="9" xr3:uid="{41BF3972-E5D5-41B8-AE5B-265C22A0C3D2}" name="country"/>
    <tableColumn id="10" xr3:uid="{3CBA32C8-7486-4BE2-821E-4B3919AE95D7}" name="neutral"/>
    <tableColumn id="11" xr3:uid="{2312E9AA-29DC-4152-A7AF-24BEE09DB409}" name="year"/>
    <tableColumn id="12" xr3:uid="{27E185D3-AF69-4A4C-BC40-E03685970159}" name="Home_GDP"/>
    <tableColumn id="13" xr3:uid="{877CA232-3089-495F-8109-2866E7681479}" name="Away_GDP"/>
    <tableColumn id="14" xr3:uid="{E54E8728-EF6F-45F2-980B-01C78347A125}" name="Wealthier_Winn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854C8B-EF3A-4CDF-B03F-010819BD76EB}" name="Table2" displayName="Table2" ref="A1:F17" totalsRowShown="0">
  <autoFilter ref="A1:F17" xr:uid="{72854C8B-EF3A-4CDF-B03F-010819BD76EB}"/>
  <tableColumns count="6">
    <tableColumn id="1" xr3:uid="{F0ED070F-5DA0-4F74-B752-81F77A4809EE}" name="Year"/>
    <tableColumn id="6" xr3:uid="{8DBA5592-EF3D-4B8D-95AF-78FC292F452A}" name="Decade" dataDxfId="4">
      <calculatedColumnFormula>_xlfn.FLOOR.MATH(Table2[[#This Row],[Year]],10)</calculatedColumnFormula>
    </tableColumn>
    <tableColumn id="2" xr3:uid="{AF43FEBF-9FC7-44F4-8046-CD84891D1DE8}" name="Count" dataDxfId="3">
      <calculatedColumnFormula>COUNTIFS(Table1[year],Table2[[#This Row],[Year]])</calculatedColumnFormula>
    </tableColumn>
    <tableColumn id="3" xr3:uid="{058C8D27-38BC-4AA8-88D2-CB85D886D27A}" name="Wealthier_Win_Percent" dataCellStyle="Percent">
      <calculatedColumnFormula>COUNTIFS(Table1[year],Table2[[#This Row],[Year]],Table1[Wealthier_Winner],1)/Table2[[#This Row],[Count]]</calculatedColumnFormula>
    </tableColumn>
    <tableColumn id="4" xr3:uid="{1BAA19C8-15E4-4FA5-ADC6-C60BB1631607}" name="Wealthier_Tie_Percent" dataCellStyle="Percent">
      <calculatedColumnFormula>COUNTIFS(Table1[year],Table2[[#This Row],[Year]],Table1[Wealthier_Winner],0)/Table2[[#This Row],[Count]]</calculatedColumnFormula>
    </tableColumn>
    <tableColumn id="5" xr3:uid="{E31725DC-3FFC-429B-90EF-5E923E8DACF2}" name="Wealthier_Lose_Percent" dataCellStyle="Percent">
      <calculatedColumnFormula>COUNTIFS(Table1[year],Table2[[#This Row],[Year]],Table1[Wealthier_Winner],-1)/Table2[[#This Row],[Count]]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14"/>
  <sheetViews>
    <sheetView topLeftCell="A583" workbookViewId="0">
      <selection activeCell="Q598" sqref="Q598"/>
    </sheetView>
  </sheetViews>
  <sheetFormatPr defaultRowHeight="14.4" x14ac:dyDescent="0.3"/>
  <cols>
    <col min="1" max="1" width="11" customWidth="1"/>
    <col min="2" max="2" width="19.33203125" customWidth="1"/>
    <col min="3" max="3" width="13.109375" customWidth="1"/>
    <col min="4" max="4" width="12.6640625" customWidth="1"/>
    <col min="5" max="5" width="13.21875" customWidth="1"/>
    <col min="6" max="6" width="12.77734375" customWidth="1"/>
    <col min="7" max="7" width="13" customWidth="1"/>
    <col min="9" max="9" width="9.44140625" customWidth="1"/>
    <col min="12" max="12" width="12.44140625" customWidth="1"/>
    <col min="13" max="13" width="12.109375" customWidth="1"/>
    <col min="14" max="14" width="18.109375" customWidth="1"/>
    <col min="15" max="15" width="16.109375" customWidth="1"/>
  </cols>
  <sheetData>
    <row r="1" spans="1:15" x14ac:dyDescent="0.3">
      <c r="A1" t="s">
        <v>210</v>
      </c>
      <c r="B1" s="1" t="s">
        <v>0</v>
      </c>
      <c r="C1" s="1" t="s">
        <v>214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 x14ac:dyDescent="0.3">
      <c r="A2" s="1">
        <v>137</v>
      </c>
      <c r="B2" s="2">
        <v>22796</v>
      </c>
      <c r="C2" s="2">
        <f>_xlfn.FLOOR.MATH([1]!Table1[[#This Row],[year]],10)</f>
        <v>1960</v>
      </c>
      <c r="D2" t="s">
        <v>13</v>
      </c>
      <c r="E2" t="s">
        <v>17</v>
      </c>
      <c r="F2">
        <v>2</v>
      </c>
      <c r="G2">
        <v>0</v>
      </c>
      <c r="H2" t="s">
        <v>74</v>
      </c>
      <c r="I2" t="s">
        <v>75</v>
      </c>
      <c r="J2" t="s">
        <v>14</v>
      </c>
      <c r="K2" t="b">
        <v>1</v>
      </c>
      <c r="L2">
        <v>1962</v>
      </c>
      <c r="M2">
        <v>19231747851.533199</v>
      </c>
      <c r="N2">
        <v>15200000000</v>
      </c>
      <c r="O2">
        <v>1</v>
      </c>
    </row>
    <row r="3" spans="1:15" x14ac:dyDescent="0.3">
      <c r="A3" s="1">
        <v>138</v>
      </c>
      <c r="B3" s="2">
        <v>22796</v>
      </c>
      <c r="C3" s="2">
        <f>_xlfn.FLOOR.MATH([1]!Table1[[#This Row],[year]],10)</f>
        <v>1960</v>
      </c>
      <c r="D3" t="s">
        <v>14</v>
      </c>
      <c r="E3" t="s">
        <v>46</v>
      </c>
      <c r="F3">
        <v>3</v>
      </c>
      <c r="G3">
        <v>1</v>
      </c>
      <c r="H3" t="s">
        <v>74</v>
      </c>
      <c r="I3" t="s">
        <v>76</v>
      </c>
      <c r="J3" t="s">
        <v>14</v>
      </c>
      <c r="K3" t="b">
        <v>0</v>
      </c>
      <c r="L3">
        <v>1962</v>
      </c>
      <c r="M3">
        <v>5765971144.4714203</v>
      </c>
      <c r="N3">
        <v>12989649694.2812</v>
      </c>
      <c r="O3">
        <v>-1</v>
      </c>
    </row>
    <row r="4" spans="1:15" x14ac:dyDescent="0.3">
      <c r="A4" s="1">
        <v>139</v>
      </c>
      <c r="B4" s="2">
        <v>22796</v>
      </c>
      <c r="C4" s="2">
        <f>_xlfn.FLOOR.MATH([1]!Table1[[#This Row],[year]],10)</f>
        <v>1960</v>
      </c>
      <c r="D4" t="s">
        <v>15</v>
      </c>
      <c r="E4" t="s">
        <v>26</v>
      </c>
      <c r="F4">
        <v>1</v>
      </c>
      <c r="G4">
        <v>2</v>
      </c>
      <c r="H4" t="s">
        <v>74</v>
      </c>
      <c r="I4" t="s">
        <v>77</v>
      </c>
      <c r="J4" t="s">
        <v>14</v>
      </c>
      <c r="K4" t="b">
        <v>1</v>
      </c>
      <c r="L4">
        <v>1962</v>
      </c>
      <c r="M4">
        <v>4955543963.3686895</v>
      </c>
      <c r="N4">
        <v>1710004407.22785</v>
      </c>
      <c r="O4">
        <v>-1</v>
      </c>
    </row>
    <row r="5" spans="1:15" x14ac:dyDescent="0.3">
      <c r="A5" s="1">
        <v>142</v>
      </c>
      <c r="B5" s="2">
        <v>22797</v>
      </c>
      <c r="C5" s="2">
        <f>_xlfn.FLOOR.MATH([1]!Table1[[#This Row],[year]],10)</f>
        <v>1960</v>
      </c>
      <c r="D5" t="s">
        <v>16</v>
      </c>
      <c r="E5" t="s">
        <v>18</v>
      </c>
      <c r="F5">
        <v>0</v>
      </c>
      <c r="G5">
        <v>0</v>
      </c>
      <c r="H5" t="s">
        <v>74</v>
      </c>
      <c r="I5" t="s">
        <v>76</v>
      </c>
      <c r="J5" t="s">
        <v>14</v>
      </c>
      <c r="K5" t="b">
        <v>1</v>
      </c>
      <c r="L5">
        <v>1962</v>
      </c>
      <c r="M5">
        <v>105895435234.343</v>
      </c>
      <c r="N5">
        <v>52413872628.004501</v>
      </c>
      <c r="O5">
        <v>0</v>
      </c>
    </row>
    <row r="6" spans="1:15" x14ac:dyDescent="0.3">
      <c r="A6" s="1">
        <v>144</v>
      </c>
      <c r="B6" s="2">
        <v>22799</v>
      </c>
      <c r="C6" s="2">
        <f>_xlfn.FLOOR.MATH([1]!Table1[[#This Row],[year]],10)</f>
        <v>1960</v>
      </c>
      <c r="D6" t="s">
        <v>19</v>
      </c>
      <c r="E6" t="s">
        <v>207</v>
      </c>
      <c r="F6">
        <v>1</v>
      </c>
      <c r="G6">
        <v>3</v>
      </c>
      <c r="H6" t="s">
        <v>74</v>
      </c>
      <c r="I6" t="s">
        <v>224</v>
      </c>
      <c r="J6" t="s">
        <v>14</v>
      </c>
      <c r="K6" t="b">
        <v>1</v>
      </c>
      <c r="L6">
        <v>1962</v>
      </c>
      <c r="M6">
        <v>18337691145.368801</v>
      </c>
      <c r="N6">
        <v>81247564156.8246</v>
      </c>
      <c r="O6">
        <v>1</v>
      </c>
    </row>
    <row r="7" spans="1:15" x14ac:dyDescent="0.3">
      <c r="A7" s="1">
        <v>146</v>
      </c>
      <c r="B7" s="2">
        <v>22799</v>
      </c>
      <c r="C7" s="2">
        <f>_xlfn.FLOOR.MATH([1]!Table1[[#This Row],[year]],10)</f>
        <v>1960</v>
      </c>
      <c r="D7" t="s">
        <v>14</v>
      </c>
      <c r="E7" t="s">
        <v>18</v>
      </c>
      <c r="F7">
        <v>2</v>
      </c>
      <c r="G7">
        <v>0</v>
      </c>
      <c r="H7" t="s">
        <v>74</v>
      </c>
      <c r="I7" t="s">
        <v>76</v>
      </c>
      <c r="J7" t="s">
        <v>14</v>
      </c>
      <c r="K7" t="b">
        <v>0</v>
      </c>
      <c r="L7">
        <v>1962</v>
      </c>
      <c r="M7">
        <v>5765971144.4714203</v>
      </c>
      <c r="N7">
        <v>52413872628.004501</v>
      </c>
      <c r="O7">
        <v>-1</v>
      </c>
    </row>
    <row r="8" spans="1:15" x14ac:dyDescent="0.3">
      <c r="A8" s="1">
        <v>150</v>
      </c>
      <c r="B8" s="2">
        <v>22800</v>
      </c>
      <c r="C8" s="2">
        <f>_xlfn.FLOOR.MATH([1]!Table1[[#This Row],[year]],10)</f>
        <v>1960</v>
      </c>
      <c r="D8" t="s">
        <v>16</v>
      </c>
      <c r="E8" t="s">
        <v>46</v>
      </c>
      <c r="F8">
        <v>2</v>
      </c>
      <c r="G8">
        <v>1</v>
      </c>
      <c r="H8" t="s">
        <v>74</v>
      </c>
      <c r="I8" t="s">
        <v>76</v>
      </c>
      <c r="J8" t="s">
        <v>14</v>
      </c>
      <c r="K8" t="b">
        <v>1</v>
      </c>
      <c r="L8">
        <v>1962</v>
      </c>
      <c r="M8">
        <v>105895435234.343</v>
      </c>
      <c r="N8">
        <v>12989649694.2812</v>
      </c>
      <c r="O8">
        <v>1</v>
      </c>
    </row>
    <row r="9" spans="1:15" x14ac:dyDescent="0.3">
      <c r="A9" s="1">
        <v>151</v>
      </c>
      <c r="B9" s="2">
        <v>22800</v>
      </c>
      <c r="C9" s="2">
        <f>_xlfn.FLOOR.MATH([1]!Table1[[#This Row],[year]],10)</f>
        <v>1960</v>
      </c>
      <c r="D9" t="s">
        <v>17</v>
      </c>
      <c r="E9" t="s">
        <v>21</v>
      </c>
      <c r="F9">
        <v>0</v>
      </c>
      <c r="G9">
        <v>1</v>
      </c>
      <c r="H9" t="s">
        <v>74</v>
      </c>
      <c r="I9" t="s">
        <v>75</v>
      </c>
      <c r="J9" t="s">
        <v>14</v>
      </c>
      <c r="K9" t="b">
        <v>1</v>
      </c>
      <c r="L9">
        <v>1962</v>
      </c>
      <c r="M9">
        <v>15200000000</v>
      </c>
      <c r="N9">
        <v>16609632790.584299</v>
      </c>
      <c r="O9">
        <v>1</v>
      </c>
    </row>
    <row r="10" spans="1:15" x14ac:dyDescent="0.3">
      <c r="A10" s="1">
        <v>153</v>
      </c>
      <c r="B10" s="2">
        <v>22803</v>
      </c>
      <c r="C10" s="2">
        <f>_xlfn.FLOOR.MATH([1]!Table1[[#This Row],[year]],10)</f>
        <v>1960</v>
      </c>
      <c r="D10" t="s">
        <v>13</v>
      </c>
      <c r="E10" t="s">
        <v>21</v>
      </c>
      <c r="F10">
        <v>2</v>
      </c>
      <c r="G10">
        <v>1</v>
      </c>
      <c r="H10" t="s">
        <v>74</v>
      </c>
      <c r="I10" t="s">
        <v>75</v>
      </c>
      <c r="J10" t="s">
        <v>14</v>
      </c>
      <c r="K10" t="b">
        <v>1</v>
      </c>
      <c r="L10">
        <v>1962</v>
      </c>
      <c r="M10">
        <v>19231747851.533199</v>
      </c>
      <c r="N10">
        <v>16609632790.584299</v>
      </c>
      <c r="O10">
        <v>1</v>
      </c>
    </row>
    <row r="11" spans="1:15" x14ac:dyDescent="0.3">
      <c r="A11" s="1">
        <v>154</v>
      </c>
      <c r="B11" s="2">
        <v>22803</v>
      </c>
      <c r="C11" s="2">
        <f>_xlfn.FLOOR.MATH([1]!Table1[[#This Row],[year]],10)</f>
        <v>1960</v>
      </c>
      <c r="D11" t="s">
        <v>14</v>
      </c>
      <c r="E11" t="s">
        <v>16</v>
      </c>
      <c r="F11">
        <v>0</v>
      </c>
      <c r="G11">
        <v>2</v>
      </c>
      <c r="H11" t="s">
        <v>74</v>
      </c>
      <c r="I11" t="s">
        <v>76</v>
      </c>
      <c r="J11" t="s">
        <v>14</v>
      </c>
      <c r="K11" t="b">
        <v>0</v>
      </c>
      <c r="L11">
        <v>1962</v>
      </c>
      <c r="M11">
        <v>5765971144.4714203</v>
      </c>
      <c r="N11">
        <v>105895435234.343</v>
      </c>
      <c r="O11">
        <v>1</v>
      </c>
    </row>
    <row r="12" spans="1:15" x14ac:dyDescent="0.3">
      <c r="A12" s="1">
        <v>159</v>
      </c>
      <c r="B12" s="2">
        <v>22804</v>
      </c>
      <c r="C12" s="2">
        <f>_xlfn.FLOOR.MATH([1]!Table1[[#This Row],[year]],10)</f>
        <v>1960</v>
      </c>
      <c r="D12" t="s">
        <v>18</v>
      </c>
      <c r="E12" t="s">
        <v>46</v>
      </c>
      <c r="F12">
        <v>3</v>
      </c>
      <c r="G12">
        <v>0</v>
      </c>
      <c r="H12" t="s">
        <v>74</v>
      </c>
      <c r="I12" t="s">
        <v>76</v>
      </c>
      <c r="J12" t="s">
        <v>14</v>
      </c>
      <c r="K12" t="b">
        <v>1</v>
      </c>
      <c r="L12">
        <v>1962</v>
      </c>
      <c r="M12">
        <v>52413872628.004501</v>
      </c>
      <c r="N12">
        <v>12989649694.2812</v>
      </c>
      <c r="O12">
        <v>1</v>
      </c>
    </row>
    <row r="13" spans="1:15" x14ac:dyDescent="0.3">
      <c r="A13" s="1">
        <v>160</v>
      </c>
      <c r="B13" s="2">
        <v>22807</v>
      </c>
      <c r="C13" s="2">
        <f>_xlfn.FLOOR.MATH([1]!Table1[[#This Row],[year]],10)</f>
        <v>1960</v>
      </c>
      <c r="D13" t="s">
        <v>13</v>
      </c>
      <c r="E13" t="s">
        <v>207</v>
      </c>
      <c r="F13">
        <v>3</v>
      </c>
      <c r="G13">
        <v>1</v>
      </c>
      <c r="H13" t="s">
        <v>74</v>
      </c>
      <c r="I13" t="s">
        <v>75</v>
      </c>
      <c r="J13" t="s">
        <v>14</v>
      </c>
      <c r="K13" t="b">
        <v>1</v>
      </c>
      <c r="L13">
        <v>1962</v>
      </c>
      <c r="M13">
        <v>19231747851.533199</v>
      </c>
      <c r="N13">
        <v>81247564156.8246</v>
      </c>
      <c r="O13">
        <v>-1</v>
      </c>
    </row>
    <row r="14" spans="1:15" x14ac:dyDescent="0.3">
      <c r="A14" s="1">
        <v>164</v>
      </c>
      <c r="B14" s="2">
        <v>22810</v>
      </c>
      <c r="C14" s="2">
        <f>_xlfn.FLOOR.MATH([1]!Table1[[#This Row],[year]],10)</f>
        <v>1960</v>
      </c>
      <c r="D14" t="s">
        <v>14</v>
      </c>
      <c r="E14" t="s">
        <v>13</v>
      </c>
      <c r="F14">
        <v>2</v>
      </c>
      <c r="G14">
        <v>4</v>
      </c>
      <c r="H14" t="s">
        <v>74</v>
      </c>
      <c r="I14" t="s">
        <v>76</v>
      </c>
      <c r="J14" t="s">
        <v>14</v>
      </c>
      <c r="K14" t="b">
        <v>0</v>
      </c>
      <c r="L14">
        <v>1962</v>
      </c>
      <c r="M14">
        <v>5765971144.4714203</v>
      </c>
      <c r="N14">
        <v>19231747851.533199</v>
      </c>
      <c r="O14">
        <v>1</v>
      </c>
    </row>
    <row r="15" spans="1:15" x14ac:dyDescent="0.3">
      <c r="A15" s="1">
        <v>168</v>
      </c>
      <c r="B15" s="2">
        <v>24299</v>
      </c>
      <c r="C15" s="2">
        <f>_xlfn.FLOOR.MATH([1]!Table1[[#This Row],[year]],10)</f>
        <v>1960</v>
      </c>
      <c r="D15" t="s">
        <v>207</v>
      </c>
      <c r="E15" t="s">
        <v>26</v>
      </c>
      <c r="F15">
        <v>0</v>
      </c>
      <c r="G15">
        <v>0</v>
      </c>
      <c r="H15" t="s">
        <v>74</v>
      </c>
      <c r="I15" t="s">
        <v>81</v>
      </c>
      <c r="J15" t="s">
        <v>207</v>
      </c>
      <c r="K15" t="b">
        <v>0</v>
      </c>
      <c r="L15">
        <v>1966</v>
      </c>
      <c r="M15">
        <v>108572752102.045</v>
      </c>
      <c r="N15">
        <v>1809185093.5518799</v>
      </c>
      <c r="O15">
        <v>0</v>
      </c>
    </row>
    <row r="16" spans="1:15" x14ac:dyDescent="0.3">
      <c r="A16" s="1">
        <v>170</v>
      </c>
      <c r="B16" s="2">
        <v>24300</v>
      </c>
      <c r="C16" s="2">
        <f>_xlfn.FLOOR.MATH([1]!Table1[[#This Row],[year]],10)</f>
        <v>1960</v>
      </c>
      <c r="D16" t="s">
        <v>16</v>
      </c>
      <c r="E16" t="s">
        <v>46</v>
      </c>
      <c r="F16">
        <v>5</v>
      </c>
      <c r="G16">
        <v>0</v>
      </c>
      <c r="H16" t="s">
        <v>74</v>
      </c>
      <c r="I16" t="s">
        <v>78</v>
      </c>
      <c r="J16" t="s">
        <v>207</v>
      </c>
      <c r="K16" t="b">
        <v>1</v>
      </c>
      <c r="L16">
        <v>1966</v>
      </c>
      <c r="M16">
        <v>143304275683.979</v>
      </c>
      <c r="N16">
        <v>18019402373.538799</v>
      </c>
      <c r="O16">
        <v>1</v>
      </c>
    </row>
    <row r="17" spans="1:15" x14ac:dyDescent="0.3">
      <c r="A17" s="1">
        <v>172</v>
      </c>
      <c r="B17" s="2">
        <v>24301</v>
      </c>
      <c r="C17" s="2">
        <f>_xlfn.FLOOR.MATH([1]!Table1[[#This Row],[year]],10)</f>
        <v>1960</v>
      </c>
      <c r="D17" t="s">
        <v>19</v>
      </c>
      <c r="E17" t="s">
        <v>21</v>
      </c>
      <c r="F17">
        <v>2</v>
      </c>
      <c r="G17">
        <v>1</v>
      </c>
      <c r="H17" t="s">
        <v>74</v>
      </c>
      <c r="I17" t="s">
        <v>79</v>
      </c>
      <c r="J17" t="s">
        <v>207</v>
      </c>
      <c r="K17" t="b">
        <v>1</v>
      </c>
      <c r="L17">
        <v>1966</v>
      </c>
      <c r="M17">
        <v>28630474727.902302</v>
      </c>
      <c r="N17">
        <v>29559436182.918598</v>
      </c>
      <c r="O17">
        <v>-1</v>
      </c>
    </row>
    <row r="18" spans="1:15" x14ac:dyDescent="0.3">
      <c r="A18" s="1">
        <v>173</v>
      </c>
      <c r="B18" s="2">
        <v>24301</v>
      </c>
      <c r="C18" s="2">
        <f>_xlfn.FLOOR.MATH([1]!Table1[[#This Row],[year]],10)</f>
        <v>1960</v>
      </c>
      <c r="D18" t="s">
        <v>14</v>
      </c>
      <c r="E18" t="s">
        <v>18</v>
      </c>
      <c r="F18">
        <v>0</v>
      </c>
      <c r="G18">
        <v>2</v>
      </c>
      <c r="H18" t="s">
        <v>74</v>
      </c>
      <c r="I18" t="s">
        <v>80</v>
      </c>
      <c r="J18" t="s">
        <v>207</v>
      </c>
      <c r="K18" t="b">
        <v>1</v>
      </c>
      <c r="L18">
        <v>1966</v>
      </c>
      <c r="M18">
        <v>7256882086.1958504</v>
      </c>
      <c r="N18">
        <v>76622444787.369598</v>
      </c>
      <c r="O18">
        <v>1</v>
      </c>
    </row>
    <row r="19" spans="1:15" x14ac:dyDescent="0.3">
      <c r="A19" s="1">
        <v>174</v>
      </c>
      <c r="B19" s="2">
        <v>24301</v>
      </c>
      <c r="C19" s="2">
        <f>_xlfn.FLOOR.MATH([1]!Table1[[#This Row],[year]],10)</f>
        <v>1960</v>
      </c>
      <c r="D19" t="s">
        <v>20</v>
      </c>
      <c r="E19" t="s">
        <v>17</v>
      </c>
      <c r="F19">
        <v>1</v>
      </c>
      <c r="G19">
        <v>1</v>
      </c>
      <c r="H19" t="s">
        <v>74</v>
      </c>
      <c r="I19" t="s">
        <v>81</v>
      </c>
      <c r="J19" t="s">
        <v>207</v>
      </c>
      <c r="K19" t="b">
        <v>1</v>
      </c>
      <c r="L19">
        <v>1966</v>
      </c>
      <c r="M19">
        <v>109306730313.216</v>
      </c>
      <c r="N19">
        <v>24320000000</v>
      </c>
      <c r="O19">
        <v>0</v>
      </c>
    </row>
    <row r="20" spans="1:15" x14ac:dyDescent="0.3">
      <c r="A20" s="1">
        <v>178</v>
      </c>
      <c r="B20" s="2">
        <v>24303</v>
      </c>
      <c r="C20" s="2">
        <f>_xlfn.FLOOR.MATH([1]!Table1[[#This Row],[year]],10)</f>
        <v>1960</v>
      </c>
      <c r="D20" t="s">
        <v>20</v>
      </c>
      <c r="E20" t="s">
        <v>26</v>
      </c>
      <c r="F20">
        <v>1</v>
      </c>
      <c r="G20">
        <v>2</v>
      </c>
      <c r="H20" t="s">
        <v>74</v>
      </c>
      <c r="I20" t="s">
        <v>81</v>
      </c>
      <c r="J20" t="s">
        <v>207</v>
      </c>
      <c r="K20" t="b">
        <v>1</v>
      </c>
      <c r="L20">
        <v>1966</v>
      </c>
      <c r="M20">
        <v>109306730313.216</v>
      </c>
      <c r="N20">
        <v>1809185093.5518799</v>
      </c>
      <c r="O20">
        <v>-1</v>
      </c>
    </row>
    <row r="21" spans="1:15" x14ac:dyDescent="0.3">
      <c r="A21" s="1">
        <v>179</v>
      </c>
      <c r="B21" s="2">
        <v>24303</v>
      </c>
      <c r="C21" s="2">
        <f>_xlfn.FLOOR.MATH([1]!Table1[[#This Row],[year]],10)</f>
        <v>1960</v>
      </c>
      <c r="D21" t="s">
        <v>21</v>
      </c>
      <c r="E21" t="s">
        <v>46</v>
      </c>
      <c r="F21">
        <v>2</v>
      </c>
      <c r="G21">
        <v>1</v>
      </c>
      <c r="H21" t="s">
        <v>74</v>
      </c>
      <c r="I21" t="s">
        <v>78</v>
      </c>
      <c r="J21" t="s">
        <v>207</v>
      </c>
      <c r="K21" t="b">
        <v>1</v>
      </c>
      <c r="L21">
        <v>1966</v>
      </c>
      <c r="M21">
        <v>29559436182.918598</v>
      </c>
      <c r="N21">
        <v>18019402373.538799</v>
      </c>
      <c r="O21">
        <v>1</v>
      </c>
    </row>
    <row r="22" spans="1:15" x14ac:dyDescent="0.3">
      <c r="A22" s="1">
        <v>180</v>
      </c>
      <c r="B22" s="2">
        <v>24304</v>
      </c>
      <c r="C22" s="2">
        <f>_xlfn.FLOOR.MATH([1]!Table1[[#This Row],[year]],10)</f>
        <v>1960</v>
      </c>
      <c r="D22" t="s">
        <v>19</v>
      </c>
      <c r="E22" t="s">
        <v>16</v>
      </c>
      <c r="F22">
        <v>0</v>
      </c>
      <c r="G22">
        <v>0</v>
      </c>
      <c r="H22" t="s">
        <v>74</v>
      </c>
      <c r="I22" t="s">
        <v>79</v>
      </c>
      <c r="J22" t="s">
        <v>207</v>
      </c>
      <c r="K22" t="b">
        <v>1</v>
      </c>
      <c r="L22">
        <v>1966</v>
      </c>
      <c r="M22">
        <v>28630474727.902302</v>
      </c>
      <c r="N22">
        <v>143304275683.979</v>
      </c>
      <c r="O22">
        <v>0</v>
      </c>
    </row>
    <row r="23" spans="1:15" x14ac:dyDescent="0.3">
      <c r="A23" s="1">
        <v>182</v>
      </c>
      <c r="B23" s="2">
        <v>24304</v>
      </c>
      <c r="C23" s="2">
        <f>_xlfn.FLOOR.MATH([1]!Table1[[#This Row],[year]],10)</f>
        <v>1960</v>
      </c>
      <c r="D23" t="s">
        <v>207</v>
      </c>
      <c r="E23" t="s">
        <v>17</v>
      </c>
      <c r="F23">
        <v>2</v>
      </c>
      <c r="G23">
        <v>0</v>
      </c>
      <c r="H23" t="s">
        <v>74</v>
      </c>
      <c r="I23" t="s">
        <v>81</v>
      </c>
      <c r="J23" t="s">
        <v>207</v>
      </c>
      <c r="K23" t="b">
        <v>0</v>
      </c>
      <c r="L23">
        <v>1966</v>
      </c>
      <c r="M23">
        <v>108572752102.045</v>
      </c>
      <c r="N23">
        <v>24320000000</v>
      </c>
      <c r="O23">
        <v>1</v>
      </c>
    </row>
    <row r="24" spans="1:15" x14ac:dyDescent="0.3">
      <c r="A24" s="1">
        <v>184</v>
      </c>
      <c r="B24" s="2">
        <v>24307</v>
      </c>
      <c r="C24" s="2">
        <f>_xlfn.FLOOR.MATH([1]!Table1[[#This Row],[year]],10)</f>
        <v>1960</v>
      </c>
      <c r="D24" t="s">
        <v>19</v>
      </c>
      <c r="E24" t="s">
        <v>46</v>
      </c>
      <c r="F24">
        <v>2</v>
      </c>
      <c r="G24">
        <v>0</v>
      </c>
      <c r="H24" t="s">
        <v>74</v>
      </c>
      <c r="I24" t="s">
        <v>78</v>
      </c>
      <c r="J24" t="s">
        <v>207</v>
      </c>
      <c r="K24" t="b">
        <v>1</v>
      </c>
      <c r="L24">
        <v>1966</v>
      </c>
      <c r="M24">
        <v>28630474727.902302</v>
      </c>
      <c r="N24">
        <v>18019402373.538799</v>
      </c>
      <c r="O24">
        <v>1</v>
      </c>
    </row>
    <row r="25" spans="1:15" x14ac:dyDescent="0.3">
      <c r="A25" s="1">
        <v>185</v>
      </c>
      <c r="B25" s="2">
        <v>24307</v>
      </c>
      <c r="C25" s="2">
        <f>_xlfn.FLOOR.MATH([1]!Table1[[#This Row],[year]],10)</f>
        <v>1960</v>
      </c>
      <c r="D25" t="s">
        <v>13</v>
      </c>
      <c r="E25" t="s">
        <v>38</v>
      </c>
      <c r="F25">
        <v>1</v>
      </c>
      <c r="G25">
        <v>3</v>
      </c>
      <c r="H25" t="s">
        <v>74</v>
      </c>
      <c r="I25" t="s">
        <v>82</v>
      </c>
      <c r="J25" t="s">
        <v>207</v>
      </c>
      <c r="K25" t="b">
        <v>1</v>
      </c>
      <c r="L25">
        <v>1966</v>
      </c>
      <c r="M25">
        <v>28283323733.111401</v>
      </c>
      <c r="N25">
        <v>5370108031.1285896</v>
      </c>
      <c r="O25">
        <v>-1</v>
      </c>
    </row>
    <row r="26" spans="1:15" x14ac:dyDescent="0.3">
      <c r="A26" s="1">
        <v>187</v>
      </c>
      <c r="B26" s="2">
        <v>24307</v>
      </c>
      <c r="C26" s="2">
        <f>_xlfn.FLOOR.MATH([1]!Table1[[#This Row],[year]],10)</f>
        <v>1960</v>
      </c>
      <c r="D26" t="s">
        <v>17</v>
      </c>
      <c r="E26" t="s">
        <v>26</v>
      </c>
      <c r="F26">
        <v>0</v>
      </c>
      <c r="G26">
        <v>0</v>
      </c>
      <c r="H26" t="s">
        <v>74</v>
      </c>
      <c r="I26" t="s">
        <v>81</v>
      </c>
      <c r="J26" t="s">
        <v>207</v>
      </c>
      <c r="K26" t="b">
        <v>1</v>
      </c>
      <c r="L26">
        <v>1966</v>
      </c>
      <c r="M26">
        <v>24320000000</v>
      </c>
      <c r="N26">
        <v>1809185093.5518799</v>
      </c>
      <c r="O26">
        <v>0</v>
      </c>
    </row>
    <row r="27" spans="1:15" x14ac:dyDescent="0.3">
      <c r="A27" s="1">
        <v>190</v>
      </c>
      <c r="B27" s="2">
        <v>24308</v>
      </c>
      <c r="C27" s="2">
        <f>_xlfn.FLOOR.MATH([1]!Table1[[#This Row],[year]],10)</f>
        <v>1960</v>
      </c>
      <c r="D27" t="s">
        <v>207</v>
      </c>
      <c r="E27" t="s">
        <v>20</v>
      </c>
      <c r="F27">
        <v>2</v>
      </c>
      <c r="G27">
        <v>0</v>
      </c>
      <c r="H27" t="s">
        <v>74</v>
      </c>
      <c r="I27" t="s">
        <v>81</v>
      </c>
      <c r="J27" t="s">
        <v>207</v>
      </c>
      <c r="K27" t="b">
        <v>0</v>
      </c>
      <c r="L27">
        <v>1966</v>
      </c>
      <c r="M27">
        <v>108572752102.045</v>
      </c>
      <c r="N27">
        <v>109306730313.216</v>
      </c>
      <c r="O27">
        <v>-1</v>
      </c>
    </row>
    <row r="28" spans="1:15" x14ac:dyDescent="0.3">
      <c r="A28" s="1">
        <v>191</v>
      </c>
      <c r="B28" s="2">
        <v>24308</v>
      </c>
      <c r="C28" s="2">
        <f>_xlfn.FLOOR.MATH([1]!Table1[[#This Row],[year]],10)</f>
        <v>1960</v>
      </c>
      <c r="D28" t="s">
        <v>16</v>
      </c>
      <c r="E28" t="s">
        <v>21</v>
      </c>
      <c r="F28">
        <v>2</v>
      </c>
      <c r="G28">
        <v>1</v>
      </c>
      <c r="H28" t="s">
        <v>74</v>
      </c>
      <c r="I28" t="s">
        <v>79</v>
      </c>
      <c r="J28" t="s">
        <v>207</v>
      </c>
      <c r="K28" t="b">
        <v>1</v>
      </c>
      <c r="L28">
        <v>1966</v>
      </c>
      <c r="M28">
        <v>143304275683.979</v>
      </c>
      <c r="N28">
        <v>29559436182.918598</v>
      </c>
      <c r="O28">
        <v>1</v>
      </c>
    </row>
    <row r="29" spans="1:15" x14ac:dyDescent="0.3">
      <c r="A29" s="1">
        <v>192</v>
      </c>
      <c r="B29" s="2">
        <v>24311</v>
      </c>
      <c r="C29" s="2">
        <f>_xlfn.FLOOR.MATH([1]!Table1[[#This Row],[year]],10)</f>
        <v>1960</v>
      </c>
      <c r="D29" t="s">
        <v>207</v>
      </c>
      <c r="E29" t="s">
        <v>19</v>
      </c>
      <c r="F29">
        <v>1</v>
      </c>
      <c r="G29">
        <v>0</v>
      </c>
      <c r="H29" t="s">
        <v>74</v>
      </c>
      <c r="I29" t="s">
        <v>81</v>
      </c>
      <c r="J29" t="s">
        <v>207</v>
      </c>
      <c r="K29" t="b">
        <v>0</v>
      </c>
      <c r="L29">
        <v>1966</v>
      </c>
      <c r="M29">
        <v>108572752102.045</v>
      </c>
      <c r="N29">
        <v>28630474727.902302</v>
      </c>
      <c r="O29">
        <v>1</v>
      </c>
    </row>
    <row r="30" spans="1:15" x14ac:dyDescent="0.3">
      <c r="A30" s="1">
        <v>193</v>
      </c>
      <c r="B30" s="2">
        <v>24311</v>
      </c>
      <c r="C30" s="2">
        <f>_xlfn.FLOOR.MATH([1]!Table1[[#This Row],[year]],10)</f>
        <v>1960</v>
      </c>
      <c r="D30" t="s">
        <v>16</v>
      </c>
      <c r="E30" t="s">
        <v>26</v>
      </c>
      <c r="F30">
        <v>4</v>
      </c>
      <c r="G30">
        <v>0</v>
      </c>
      <c r="H30" t="s">
        <v>74</v>
      </c>
      <c r="I30" t="s">
        <v>78</v>
      </c>
      <c r="J30" t="s">
        <v>207</v>
      </c>
      <c r="K30" t="b">
        <v>1</v>
      </c>
      <c r="L30">
        <v>1966</v>
      </c>
      <c r="M30">
        <v>143304275683.979</v>
      </c>
      <c r="N30">
        <v>1809185093.5518799</v>
      </c>
      <c r="O30">
        <v>1</v>
      </c>
    </row>
    <row r="31" spans="1:15" x14ac:dyDescent="0.3">
      <c r="A31" s="1">
        <v>197</v>
      </c>
      <c r="B31" s="2">
        <v>24314</v>
      </c>
      <c r="C31" s="2">
        <f>_xlfn.FLOOR.MATH([1]!Table1[[#This Row],[year]],10)</f>
        <v>1960</v>
      </c>
      <c r="D31" t="s">
        <v>207</v>
      </c>
      <c r="E31" t="s">
        <v>38</v>
      </c>
      <c r="F31">
        <v>2</v>
      </c>
      <c r="G31">
        <v>1</v>
      </c>
      <c r="H31" t="s">
        <v>74</v>
      </c>
      <c r="I31" t="s">
        <v>81</v>
      </c>
      <c r="J31" t="s">
        <v>207</v>
      </c>
      <c r="K31" t="b">
        <v>0</v>
      </c>
      <c r="L31">
        <v>1966</v>
      </c>
      <c r="M31">
        <v>108572752102.045</v>
      </c>
      <c r="N31">
        <v>5370108031.1285896</v>
      </c>
      <c r="O31">
        <v>1</v>
      </c>
    </row>
    <row r="32" spans="1:15" x14ac:dyDescent="0.3">
      <c r="A32" s="1">
        <v>199</v>
      </c>
      <c r="B32" s="2">
        <v>24318</v>
      </c>
      <c r="C32" s="2">
        <f>_xlfn.FLOOR.MATH([1]!Table1[[#This Row],[year]],10)</f>
        <v>1960</v>
      </c>
      <c r="D32" t="s">
        <v>207</v>
      </c>
      <c r="E32" t="s">
        <v>16</v>
      </c>
      <c r="F32">
        <v>4</v>
      </c>
      <c r="G32">
        <v>2</v>
      </c>
      <c r="H32" t="s">
        <v>74</v>
      </c>
      <c r="I32" t="s">
        <v>81</v>
      </c>
      <c r="J32" t="s">
        <v>207</v>
      </c>
      <c r="K32" t="b">
        <v>0</v>
      </c>
      <c r="L32">
        <v>1966</v>
      </c>
      <c r="M32">
        <v>108572752102.045</v>
      </c>
      <c r="N32">
        <v>143304275683.979</v>
      </c>
      <c r="O32">
        <v>-1</v>
      </c>
    </row>
    <row r="33" spans="1:15" x14ac:dyDescent="0.3">
      <c r="A33" s="1">
        <v>203</v>
      </c>
      <c r="B33" s="2">
        <v>25721</v>
      </c>
      <c r="C33" s="2">
        <f>_xlfn.FLOOR.MATH([1]!Table1[[#This Row],[year]],10)</f>
        <v>1970</v>
      </c>
      <c r="D33" t="s">
        <v>22</v>
      </c>
      <c r="E33" t="s">
        <v>26</v>
      </c>
      <c r="F33">
        <v>0</v>
      </c>
      <c r="G33">
        <v>2</v>
      </c>
      <c r="H33" t="s">
        <v>74</v>
      </c>
      <c r="I33" t="s">
        <v>83</v>
      </c>
      <c r="J33" t="s">
        <v>17</v>
      </c>
      <c r="K33" t="b">
        <v>1</v>
      </c>
      <c r="L33">
        <v>1970</v>
      </c>
      <c r="M33">
        <v>7406712876.3831997</v>
      </c>
      <c r="N33">
        <v>2137096774.1935501</v>
      </c>
      <c r="O33">
        <v>-1</v>
      </c>
    </row>
    <row r="34" spans="1:15" x14ac:dyDescent="0.3">
      <c r="A34" s="1">
        <v>204</v>
      </c>
      <c r="B34" s="2">
        <v>25722</v>
      </c>
      <c r="C34" s="2">
        <f>_xlfn.FLOOR.MATH([1]!Table1[[#This Row],[year]],10)</f>
        <v>1970</v>
      </c>
      <c r="D34" t="s">
        <v>23</v>
      </c>
      <c r="E34" t="s">
        <v>69</v>
      </c>
      <c r="F34">
        <v>3</v>
      </c>
      <c r="G34">
        <v>0</v>
      </c>
      <c r="H34" t="s">
        <v>74</v>
      </c>
      <c r="I34" t="s">
        <v>84</v>
      </c>
      <c r="J34" t="s">
        <v>17</v>
      </c>
      <c r="K34" t="b">
        <v>1</v>
      </c>
      <c r="L34">
        <v>1970</v>
      </c>
      <c r="M34">
        <v>26706196046.793098</v>
      </c>
      <c r="N34">
        <v>1132920000</v>
      </c>
      <c r="O34">
        <v>1</v>
      </c>
    </row>
    <row r="35" spans="1:15" x14ac:dyDescent="0.3">
      <c r="A35" s="1">
        <v>206</v>
      </c>
      <c r="B35" s="2">
        <v>25722</v>
      </c>
      <c r="C35" s="2">
        <f>_xlfn.FLOOR.MATH([1]!Table1[[#This Row],[year]],10)</f>
        <v>1970</v>
      </c>
      <c r="D35" t="s">
        <v>16</v>
      </c>
      <c r="E35" t="s">
        <v>24</v>
      </c>
      <c r="F35">
        <v>2</v>
      </c>
      <c r="G35">
        <v>1</v>
      </c>
      <c r="H35" t="s">
        <v>74</v>
      </c>
      <c r="I35" t="s">
        <v>85</v>
      </c>
      <c r="J35" t="s">
        <v>17</v>
      </c>
      <c r="K35" t="b">
        <v>1</v>
      </c>
      <c r="L35">
        <v>1970</v>
      </c>
      <c r="M35">
        <v>216629229947.09601</v>
      </c>
      <c r="N35">
        <v>3956336244.11865</v>
      </c>
      <c r="O35">
        <v>1</v>
      </c>
    </row>
    <row r="36" spans="1:15" x14ac:dyDescent="0.3">
      <c r="A36" s="1">
        <v>207</v>
      </c>
      <c r="B36" s="2">
        <v>25722</v>
      </c>
      <c r="C36" s="2">
        <f>_xlfn.FLOOR.MATH([1]!Table1[[#This Row],[year]],10)</f>
        <v>1970</v>
      </c>
      <c r="D36" t="s">
        <v>18</v>
      </c>
      <c r="E36" t="s">
        <v>25</v>
      </c>
      <c r="F36">
        <v>1</v>
      </c>
      <c r="G36">
        <v>0</v>
      </c>
      <c r="H36" t="s">
        <v>74</v>
      </c>
      <c r="I36" t="s">
        <v>86</v>
      </c>
      <c r="J36" t="s">
        <v>17</v>
      </c>
      <c r="K36" t="b">
        <v>1</v>
      </c>
      <c r="L36">
        <v>1970</v>
      </c>
      <c r="M36">
        <v>113656669764.56</v>
      </c>
      <c r="N36">
        <v>38037226668.213097</v>
      </c>
      <c r="O36">
        <v>1</v>
      </c>
    </row>
    <row r="37" spans="1:15" x14ac:dyDescent="0.3">
      <c r="A37" s="1">
        <v>210</v>
      </c>
      <c r="B37" s="2">
        <v>25725</v>
      </c>
      <c r="C37" s="2">
        <f>_xlfn.FLOOR.MATH([1]!Table1[[#This Row],[year]],10)</f>
        <v>1970</v>
      </c>
      <c r="D37" t="s">
        <v>18</v>
      </c>
      <c r="E37" t="s">
        <v>26</v>
      </c>
      <c r="F37">
        <v>0</v>
      </c>
      <c r="G37">
        <v>0</v>
      </c>
      <c r="H37" t="s">
        <v>74</v>
      </c>
      <c r="I37" t="s">
        <v>83</v>
      </c>
      <c r="J37" t="s">
        <v>17</v>
      </c>
      <c r="K37" t="b">
        <v>1</v>
      </c>
      <c r="L37">
        <v>1970</v>
      </c>
      <c r="M37">
        <v>113656669764.56</v>
      </c>
      <c r="N37">
        <v>2137096774.1935501</v>
      </c>
      <c r="O37">
        <v>0</v>
      </c>
    </row>
    <row r="38" spans="1:15" x14ac:dyDescent="0.3">
      <c r="A38" s="1">
        <v>211</v>
      </c>
      <c r="B38" s="2">
        <v>25725</v>
      </c>
      <c r="C38" s="2">
        <f>_xlfn.FLOOR.MATH([1]!Table1[[#This Row],[year]],10)</f>
        <v>1970</v>
      </c>
      <c r="D38" t="s">
        <v>24</v>
      </c>
      <c r="E38" t="s">
        <v>31</v>
      </c>
      <c r="F38">
        <v>0</v>
      </c>
      <c r="G38">
        <v>3</v>
      </c>
      <c r="H38" t="s">
        <v>74</v>
      </c>
      <c r="I38" t="s">
        <v>85</v>
      </c>
      <c r="J38" t="s">
        <v>17</v>
      </c>
      <c r="K38" t="b">
        <v>1</v>
      </c>
      <c r="L38">
        <v>1970</v>
      </c>
      <c r="M38">
        <v>3956336244.11865</v>
      </c>
      <c r="N38">
        <v>7432223176.9362297</v>
      </c>
      <c r="O38">
        <v>1</v>
      </c>
    </row>
    <row r="39" spans="1:15" x14ac:dyDescent="0.3">
      <c r="A39" s="1">
        <v>212</v>
      </c>
      <c r="B39" s="2">
        <v>25726</v>
      </c>
      <c r="C39" s="2">
        <f>_xlfn.FLOOR.MATH([1]!Table1[[#This Row],[year]],10)</f>
        <v>1970</v>
      </c>
      <c r="D39" t="s">
        <v>13</v>
      </c>
      <c r="E39" t="s">
        <v>207</v>
      </c>
      <c r="F39">
        <v>1</v>
      </c>
      <c r="G39">
        <v>0</v>
      </c>
      <c r="H39" t="s">
        <v>74</v>
      </c>
      <c r="I39" t="s">
        <v>87</v>
      </c>
      <c r="J39" t="s">
        <v>17</v>
      </c>
      <c r="K39" t="b">
        <v>1</v>
      </c>
      <c r="L39">
        <v>1970</v>
      </c>
      <c r="M39">
        <v>42327664793.693398</v>
      </c>
      <c r="N39">
        <v>130671946244.3</v>
      </c>
      <c r="O39">
        <v>-1</v>
      </c>
    </row>
    <row r="40" spans="1:15" x14ac:dyDescent="0.3">
      <c r="A40" s="1">
        <v>214</v>
      </c>
      <c r="B40" s="2">
        <v>25726</v>
      </c>
      <c r="C40" s="2">
        <f>_xlfn.FLOOR.MATH([1]!Table1[[#This Row],[year]],10)</f>
        <v>1970</v>
      </c>
      <c r="D40" t="s">
        <v>22</v>
      </c>
      <c r="E40" t="s">
        <v>25</v>
      </c>
      <c r="F40">
        <v>1</v>
      </c>
      <c r="G40">
        <v>1</v>
      </c>
      <c r="H40" t="s">
        <v>74</v>
      </c>
      <c r="I40" t="s">
        <v>86</v>
      </c>
      <c r="J40" t="s">
        <v>17</v>
      </c>
      <c r="K40" t="b">
        <v>1</v>
      </c>
      <c r="L40">
        <v>1970</v>
      </c>
      <c r="M40">
        <v>7406712876.3831997</v>
      </c>
      <c r="N40">
        <v>38037226668.213097</v>
      </c>
      <c r="O40">
        <v>0</v>
      </c>
    </row>
    <row r="41" spans="1:15" x14ac:dyDescent="0.3">
      <c r="A41" s="1">
        <v>215</v>
      </c>
      <c r="B41" s="2">
        <v>25726</v>
      </c>
      <c r="C41" s="2">
        <f>_xlfn.FLOOR.MATH([1]!Table1[[#This Row],[year]],10)</f>
        <v>1970</v>
      </c>
      <c r="D41" t="s">
        <v>17</v>
      </c>
      <c r="E41" t="s">
        <v>69</v>
      </c>
      <c r="F41">
        <v>4</v>
      </c>
      <c r="G41">
        <v>0</v>
      </c>
      <c r="H41" t="s">
        <v>74</v>
      </c>
      <c r="I41" t="s">
        <v>84</v>
      </c>
      <c r="J41" t="s">
        <v>17</v>
      </c>
      <c r="K41" t="b">
        <v>0</v>
      </c>
      <c r="L41">
        <v>1970</v>
      </c>
      <c r="M41">
        <v>35520000000</v>
      </c>
      <c r="N41">
        <v>1132920000</v>
      </c>
      <c r="O41">
        <v>1</v>
      </c>
    </row>
    <row r="42" spans="1:15" x14ac:dyDescent="0.3">
      <c r="A42" s="1">
        <v>218</v>
      </c>
      <c r="B42" s="2">
        <v>25729</v>
      </c>
      <c r="C42" s="2">
        <f>_xlfn.FLOOR.MATH([1]!Table1[[#This Row],[year]],10)</f>
        <v>1970</v>
      </c>
      <c r="D42" t="s">
        <v>16</v>
      </c>
      <c r="E42" t="s">
        <v>31</v>
      </c>
      <c r="F42">
        <v>3</v>
      </c>
      <c r="G42">
        <v>1</v>
      </c>
      <c r="H42" t="s">
        <v>74</v>
      </c>
      <c r="I42" t="s">
        <v>85</v>
      </c>
      <c r="J42" t="s">
        <v>17</v>
      </c>
      <c r="K42" t="b">
        <v>1</v>
      </c>
      <c r="L42">
        <v>1970</v>
      </c>
      <c r="M42">
        <v>216629229947.09601</v>
      </c>
      <c r="N42">
        <v>7432223176.9362297</v>
      </c>
      <c r="O42">
        <v>1</v>
      </c>
    </row>
    <row r="43" spans="1:15" x14ac:dyDescent="0.3">
      <c r="A43" s="1">
        <v>219</v>
      </c>
      <c r="B43" s="2">
        <v>25729</v>
      </c>
      <c r="C43" s="2">
        <f>_xlfn.FLOOR.MATH([1]!Table1[[#This Row],[year]],10)</f>
        <v>1970</v>
      </c>
      <c r="D43" t="s">
        <v>25</v>
      </c>
      <c r="E43" t="s">
        <v>26</v>
      </c>
      <c r="F43">
        <v>1</v>
      </c>
      <c r="G43">
        <v>0</v>
      </c>
      <c r="H43" t="s">
        <v>74</v>
      </c>
      <c r="I43" t="s">
        <v>83</v>
      </c>
      <c r="J43" t="s">
        <v>17</v>
      </c>
      <c r="K43" t="b">
        <v>1</v>
      </c>
      <c r="L43">
        <v>1970</v>
      </c>
      <c r="M43">
        <v>38037226668.213097</v>
      </c>
      <c r="N43">
        <v>2137096774.1935501</v>
      </c>
      <c r="O43">
        <v>1</v>
      </c>
    </row>
    <row r="44" spans="1:15" x14ac:dyDescent="0.3">
      <c r="A44" s="1">
        <v>222</v>
      </c>
      <c r="B44" s="2">
        <v>25730</v>
      </c>
      <c r="C44" s="2">
        <f>_xlfn.FLOOR.MATH([1]!Table1[[#This Row],[year]],10)</f>
        <v>1970</v>
      </c>
      <c r="D44" t="s">
        <v>22</v>
      </c>
      <c r="E44" t="s">
        <v>18</v>
      </c>
      <c r="F44">
        <v>0</v>
      </c>
      <c r="G44">
        <v>0</v>
      </c>
      <c r="H44" t="s">
        <v>74</v>
      </c>
      <c r="I44" t="s">
        <v>86</v>
      </c>
      <c r="J44" t="s">
        <v>17</v>
      </c>
      <c r="K44" t="b">
        <v>1</v>
      </c>
      <c r="L44">
        <v>1970</v>
      </c>
      <c r="M44">
        <v>7406712876.3831997</v>
      </c>
      <c r="N44">
        <v>113656669764.56</v>
      </c>
      <c r="O44">
        <v>0</v>
      </c>
    </row>
    <row r="45" spans="1:15" x14ac:dyDescent="0.3">
      <c r="A45" s="1">
        <v>223</v>
      </c>
      <c r="B45" s="2">
        <v>25730</v>
      </c>
      <c r="C45" s="2">
        <f>_xlfn.FLOOR.MATH([1]!Table1[[#This Row],[year]],10)</f>
        <v>1970</v>
      </c>
      <c r="D45" t="s">
        <v>17</v>
      </c>
      <c r="E45" t="s">
        <v>23</v>
      </c>
      <c r="F45">
        <v>1</v>
      </c>
      <c r="G45">
        <v>0</v>
      </c>
      <c r="H45" t="s">
        <v>74</v>
      </c>
      <c r="I45" t="s">
        <v>84</v>
      </c>
      <c r="J45" t="s">
        <v>17</v>
      </c>
      <c r="K45" t="b">
        <v>0</v>
      </c>
      <c r="L45">
        <v>1970</v>
      </c>
      <c r="M45">
        <v>35520000000</v>
      </c>
      <c r="N45">
        <v>26706196046.793098</v>
      </c>
      <c r="O45">
        <v>1</v>
      </c>
    </row>
    <row r="46" spans="1:15" x14ac:dyDescent="0.3">
      <c r="A46" s="1">
        <v>224</v>
      </c>
      <c r="B46" s="2">
        <v>25733</v>
      </c>
      <c r="C46" s="2">
        <f>_xlfn.FLOOR.MATH([1]!Table1[[#This Row],[year]],10)</f>
        <v>1970</v>
      </c>
      <c r="D46" t="s">
        <v>13</v>
      </c>
      <c r="E46" t="s">
        <v>31</v>
      </c>
      <c r="F46">
        <v>4</v>
      </c>
      <c r="G46">
        <v>2</v>
      </c>
      <c r="H46" t="s">
        <v>74</v>
      </c>
      <c r="I46" t="s">
        <v>87</v>
      </c>
      <c r="J46" t="s">
        <v>17</v>
      </c>
      <c r="K46" t="b">
        <v>1</v>
      </c>
      <c r="L46">
        <v>1970</v>
      </c>
      <c r="M46">
        <v>42327664793.693398</v>
      </c>
      <c r="N46">
        <v>7432223176.9362297</v>
      </c>
      <c r="O46">
        <v>1</v>
      </c>
    </row>
    <row r="47" spans="1:15" x14ac:dyDescent="0.3">
      <c r="A47" s="1">
        <v>225</v>
      </c>
      <c r="B47" s="2">
        <v>25733</v>
      </c>
      <c r="C47" s="2">
        <f>_xlfn.FLOOR.MATH([1]!Table1[[#This Row],[year]],10)</f>
        <v>1970</v>
      </c>
      <c r="D47" t="s">
        <v>207</v>
      </c>
      <c r="E47" t="s">
        <v>16</v>
      </c>
      <c r="F47">
        <v>2</v>
      </c>
      <c r="G47">
        <v>3</v>
      </c>
      <c r="H47" t="s">
        <v>74</v>
      </c>
      <c r="I47" t="s">
        <v>85</v>
      </c>
      <c r="J47" t="s">
        <v>17</v>
      </c>
      <c r="K47" t="b">
        <v>1</v>
      </c>
      <c r="L47">
        <v>1970</v>
      </c>
      <c r="M47">
        <v>130671946244.3</v>
      </c>
      <c r="N47">
        <v>216629229947.09601</v>
      </c>
      <c r="O47">
        <v>1</v>
      </c>
    </row>
    <row r="48" spans="1:15" x14ac:dyDescent="0.3">
      <c r="A48" s="1">
        <v>226</v>
      </c>
      <c r="B48" s="2">
        <v>25733</v>
      </c>
      <c r="C48" s="2">
        <f>_xlfn.FLOOR.MATH([1]!Table1[[#This Row],[year]],10)</f>
        <v>1970</v>
      </c>
      <c r="D48" t="s">
        <v>17</v>
      </c>
      <c r="E48" t="s">
        <v>18</v>
      </c>
      <c r="F48">
        <v>1</v>
      </c>
      <c r="G48">
        <v>4</v>
      </c>
      <c r="H48" t="s">
        <v>74</v>
      </c>
      <c r="I48" t="s">
        <v>86</v>
      </c>
      <c r="J48" t="s">
        <v>17</v>
      </c>
      <c r="K48" t="b">
        <v>0</v>
      </c>
      <c r="L48">
        <v>1970</v>
      </c>
      <c r="M48">
        <v>35520000000</v>
      </c>
      <c r="N48">
        <v>113656669764.56</v>
      </c>
      <c r="O48">
        <v>1</v>
      </c>
    </row>
    <row r="49" spans="1:15" x14ac:dyDescent="0.3">
      <c r="A49" s="1">
        <v>228</v>
      </c>
      <c r="B49" s="2">
        <v>25736</v>
      </c>
      <c r="C49" s="2">
        <f>_xlfn.FLOOR.MATH([1]!Table1[[#This Row],[year]],10)</f>
        <v>1970</v>
      </c>
      <c r="D49" t="s">
        <v>13</v>
      </c>
      <c r="E49" t="s">
        <v>26</v>
      </c>
      <c r="F49">
        <v>3</v>
      </c>
      <c r="G49">
        <v>1</v>
      </c>
      <c r="H49" t="s">
        <v>74</v>
      </c>
      <c r="I49" t="s">
        <v>87</v>
      </c>
      <c r="J49" t="s">
        <v>17</v>
      </c>
      <c r="K49" t="b">
        <v>1</v>
      </c>
      <c r="L49">
        <v>1970</v>
      </c>
      <c r="M49">
        <v>42327664793.693398</v>
      </c>
      <c r="N49">
        <v>2137096774.1935501</v>
      </c>
      <c r="O49">
        <v>1</v>
      </c>
    </row>
    <row r="50" spans="1:15" x14ac:dyDescent="0.3">
      <c r="A50" s="1">
        <v>229</v>
      </c>
      <c r="B50" s="2">
        <v>25736</v>
      </c>
      <c r="C50" s="2">
        <f>_xlfn.FLOOR.MATH([1]!Table1[[#This Row],[year]],10)</f>
        <v>1970</v>
      </c>
      <c r="D50" t="s">
        <v>16</v>
      </c>
      <c r="E50" t="s">
        <v>18</v>
      </c>
      <c r="F50">
        <v>3</v>
      </c>
      <c r="G50">
        <v>4</v>
      </c>
      <c r="H50" t="s">
        <v>74</v>
      </c>
      <c r="I50" t="s">
        <v>84</v>
      </c>
      <c r="J50" t="s">
        <v>17</v>
      </c>
      <c r="K50" t="b">
        <v>1</v>
      </c>
      <c r="L50">
        <v>1970</v>
      </c>
      <c r="M50">
        <v>216629229947.09601</v>
      </c>
      <c r="N50">
        <v>113656669764.56</v>
      </c>
      <c r="O50">
        <v>-1</v>
      </c>
    </row>
    <row r="51" spans="1:15" x14ac:dyDescent="0.3">
      <c r="A51" s="1">
        <v>230</v>
      </c>
      <c r="B51" s="2">
        <v>25739</v>
      </c>
      <c r="C51" s="2">
        <f>_xlfn.FLOOR.MATH([1]!Table1[[#This Row],[year]],10)</f>
        <v>1970</v>
      </c>
      <c r="D51" t="s">
        <v>16</v>
      </c>
      <c r="E51" t="s">
        <v>26</v>
      </c>
      <c r="F51">
        <v>1</v>
      </c>
      <c r="G51">
        <v>0</v>
      </c>
      <c r="H51" t="s">
        <v>74</v>
      </c>
      <c r="I51" t="s">
        <v>84</v>
      </c>
      <c r="J51" t="s">
        <v>17</v>
      </c>
      <c r="K51" t="b">
        <v>1</v>
      </c>
      <c r="L51">
        <v>1970</v>
      </c>
      <c r="M51">
        <v>216629229947.09601</v>
      </c>
      <c r="N51">
        <v>2137096774.1935501</v>
      </c>
      <c r="O51">
        <v>1</v>
      </c>
    </row>
    <row r="52" spans="1:15" x14ac:dyDescent="0.3">
      <c r="A52" s="1">
        <v>231</v>
      </c>
      <c r="B52" s="2">
        <v>25740</v>
      </c>
      <c r="C52" s="2">
        <f>_xlfn.FLOOR.MATH([1]!Table1[[#This Row],[year]],10)</f>
        <v>1970</v>
      </c>
      <c r="D52" t="s">
        <v>13</v>
      </c>
      <c r="E52" t="s">
        <v>18</v>
      </c>
      <c r="F52">
        <v>4</v>
      </c>
      <c r="G52">
        <v>1</v>
      </c>
      <c r="H52" t="s">
        <v>74</v>
      </c>
      <c r="I52" t="s">
        <v>84</v>
      </c>
      <c r="J52" t="s">
        <v>17</v>
      </c>
      <c r="K52" t="b">
        <v>1</v>
      </c>
      <c r="L52">
        <v>1970</v>
      </c>
      <c r="M52">
        <v>42327664793.693398</v>
      </c>
      <c r="N52">
        <v>113656669764.56</v>
      </c>
      <c r="O52">
        <v>-1</v>
      </c>
    </row>
    <row r="53" spans="1:15" x14ac:dyDescent="0.3">
      <c r="A53" s="1">
        <v>235</v>
      </c>
      <c r="B53" s="2">
        <v>27194</v>
      </c>
      <c r="C53" s="2">
        <f>_xlfn.FLOOR.MATH([1]!Table1[[#This Row],[year]],10)</f>
        <v>1970</v>
      </c>
      <c r="D53" t="s">
        <v>16</v>
      </c>
      <c r="E53" t="s">
        <v>14</v>
      </c>
      <c r="F53">
        <v>1</v>
      </c>
      <c r="G53">
        <v>0</v>
      </c>
      <c r="H53" t="s">
        <v>74</v>
      </c>
      <c r="I53" t="s">
        <v>88</v>
      </c>
      <c r="J53" t="s">
        <v>16</v>
      </c>
      <c r="K53" t="b">
        <v>0</v>
      </c>
      <c r="L53">
        <v>1974</v>
      </c>
      <c r="M53">
        <v>446934971657.47101</v>
      </c>
      <c r="N53">
        <v>16584311220.138399</v>
      </c>
      <c r="O53">
        <v>1</v>
      </c>
    </row>
    <row r="54" spans="1:15" x14ac:dyDescent="0.3">
      <c r="A54" s="1">
        <v>236</v>
      </c>
      <c r="B54" s="2">
        <v>27195</v>
      </c>
      <c r="C54" s="2">
        <f>_xlfn.FLOOR.MATH([1]!Table1[[#This Row],[year]],10)</f>
        <v>1970</v>
      </c>
      <c r="D54" t="s">
        <v>18</v>
      </c>
      <c r="E54" t="s">
        <v>70</v>
      </c>
      <c r="F54">
        <v>3</v>
      </c>
      <c r="G54">
        <v>1</v>
      </c>
      <c r="H54" t="s">
        <v>74</v>
      </c>
      <c r="I54" t="s">
        <v>89</v>
      </c>
      <c r="J54" t="s">
        <v>16</v>
      </c>
      <c r="K54" t="b">
        <v>1</v>
      </c>
      <c r="L54">
        <v>1974</v>
      </c>
      <c r="M54">
        <v>200024444775.23099</v>
      </c>
      <c r="N54">
        <v>565399321.52081394</v>
      </c>
      <c r="O54">
        <v>1</v>
      </c>
    </row>
    <row r="55" spans="1:15" x14ac:dyDescent="0.3">
      <c r="A55" s="1">
        <v>239</v>
      </c>
      <c r="B55" s="2">
        <v>27195</v>
      </c>
      <c r="C55" s="2">
        <f>_xlfn.FLOOR.MATH([1]!Table1[[#This Row],[year]],10)</f>
        <v>1970</v>
      </c>
      <c r="D55" t="s">
        <v>26</v>
      </c>
      <c r="E55" t="s">
        <v>27</v>
      </c>
      <c r="F55">
        <v>0</v>
      </c>
      <c r="G55">
        <v>2</v>
      </c>
      <c r="H55" t="s">
        <v>74</v>
      </c>
      <c r="I55" t="s">
        <v>90</v>
      </c>
      <c r="J55" t="s">
        <v>16</v>
      </c>
      <c r="K55" t="b">
        <v>1</v>
      </c>
      <c r="L55">
        <v>1974</v>
      </c>
      <c r="M55">
        <v>4090209681.9717202</v>
      </c>
      <c r="N55">
        <v>87371810804.164307</v>
      </c>
      <c r="O55">
        <v>1</v>
      </c>
    </row>
    <row r="56" spans="1:15" x14ac:dyDescent="0.3">
      <c r="A56" s="1">
        <v>241</v>
      </c>
      <c r="B56" s="2">
        <v>27198</v>
      </c>
      <c r="C56" s="2">
        <f>_xlfn.FLOOR.MATH([1]!Table1[[#This Row],[year]],10)</f>
        <v>1970</v>
      </c>
      <c r="D56" t="s">
        <v>16</v>
      </c>
      <c r="E56" t="s">
        <v>28</v>
      </c>
      <c r="F56">
        <v>3</v>
      </c>
      <c r="G56">
        <v>0</v>
      </c>
      <c r="H56" t="s">
        <v>74</v>
      </c>
      <c r="I56" t="s">
        <v>91</v>
      </c>
      <c r="J56" t="s">
        <v>16</v>
      </c>
      <c r="K56" t="b">
        <v>0</v>
      </c>
      <c r="L56">
        <v>1974</v>
      </c>
      <c r="M56">
        <v>446934971657.47101</v>
      </c>
      <c r="N56">
        <v>89086219602.0634</v>
      </c>
      <c r="O56">
        <v>1</v>
      </c>
    </row>
    <row r="57" spans="1:15" x14ac:dyDescent="0.3">
      <c r="A57" s="1">
        <v>244</v>
      </c>
      <c r="B57" s="2">
        <v>27199</v>
      </c>
      <c r="C57" s="2">
        <f>_xlfn.FLOOR.MATH([1]!Table1[[#This Row],[year]],10)</f>
        <v>1970</v>
      </c>
      <c r="D57" t="s">
        <v>19</v>
      </c>
      <c r="E57" t="s">
        <v>18</v>
      </c>
      <c r="F57">
        <v>1</v>
      </c>
      <c r="G57">
        <v>1</v>
      </c>
      <c r="H57" t="s">
        <v>74</v>
      </c>
      <c r="I57" t="s">
        <v>92</v>
      </c>
      <c r="J57" t="s">
        <v>16</v>
      </c>
      <c r="K57" t="b">
        <v>1</v>
      </c>
      <c r="L57">
        <v>1974</v>
      </c>
      <c r="M57">
        <v>72436777342.455399</v>
      </c>
      <c r="N57">
        <v>200024444775.23099</v>
      </c>
      <c r="O57">
        <v>0</v>
      </c>
    </row>
    <row r="58" spans="1:15" x14ac:dyDescent="0.3">
      <c r="A58" s="1">
        <v>247</v>
      </c>
      <c r="B58" s="2">
        <v>27199</v>
      </c>
      <c r="C58" s="2">
        <f>_xlfn.FLOOR.MATH([1]!Table1[[#This Row],[year]],10)</f>
        <v>1970</v>
      </c>
      <c r="D58" t="s">
        <v>27</v>
      </c>
      <c r="E58" t="s">
        <v>25</v>
      </c>
      <c r="F58">
        <v>0</v>
      </c>
      <c r="G58">
        <v>0</v>
      </c>
      <c r="H58" t="s">
        <v>74</v>
      </c>
      <c r="I58" t="s">
        <v>93</v>
      </c>
      <c r="J58" t="s">
        <v>16</v>
      </c>
      <c r="K58" t="b">
        <v>1</v>
      </c>
      <c r="L58">
        <v>1974</v>
      </c>
      <c r="M58">
        <v>87371810804.164307</v>
      </c>
      <c r="N58">
        <v>65917634590.259903</v>
      </c>
      <c r="O58">
        <v>0</v>
      </c>
    </row>
    <row r="59" spans="1:15" x14ac:dyDescent="0.3">
      <c r="A59" s="1">
        <v>248</v>
      </c>
      <c r="B59" s="2">
        <v>27202</v>
      </c>
      <c r="C59" s="2">
        <f>_xlfn.FLOOR.MATH([1]!Table1[[#This Row],[year]],10)</f>
        <v>1970</v>
      </c>
      <c r="D59" t="s">
        <v>28</v>
      </c>
      <c r="E59" t="s">
        <v>14</v>
      </c>
      <c r="F59">
        <v>0</v>
      </c>
      <c r="G59">
        <v>0</v>
      </c>
      <c r="H59" t="s">
        <v>74</v>
      </c>
      <c r="I59" t="s">
        <v>88</v>
      </c>
      <c r="J59" t="s">
        <v>16</v>
      </c>
      <c r="K59" t="b">
        <v>1</v>
      </c>
      <c r="L59">
        <v>1974</v>
      </c>
      <c r="M59">
        <v>89086219602.0634</v>
      </c>
      <c r="N59">
        <v>16584311220.138399</v>
      </c>
      <c r="O59">
        <v>0</v>
      </c>
    </row>
    <row r="60" spans="1:15" x14ac:dyDescent="0.3">
      <c r="A60" s="1">
        <v>252</v>
      </c>
      <c r="B60" s="2">
        <v>27203</v>
      </c>
      <c r="C60" s="2">
        <f>_xlfn.FLOOR.MATH([1]!Table1[[#This Row],[year]],10)</f>
        <v>1970</v>
      </c>
      <c r="D60" t="s">
        <v>19</v>
      </c>
      <c r="E60" t="s">
        <v>70</v>
      </c>
      <c r="F60">
        <v>4</v>
      </c>
      <c r="G60">
        <v>1</v>
      </c>
      <c r="H60" t="s">
        <v>74</v>
      </c>
      <c r="I60" t="s">
        <v>89</v>
      </c>
      <c r="J60" t="s">
        <v>16</v>
      </c>
      <c r="K60" t="b">
        <v>1</v>
      </c>
      <c r="L60">
        <v>1974</v>
      </c>
      <c r="M60">
        <v>72436777342.455399</v>
      </c>
      <c r="N60">
        <v>565399321.52081394</v>
      </c>
      <c r="O60">
        <v>1</v>
      </c>
    </row>
    <row r="61" spans="1:15" x14ac:dyDescent="0.3">
      <c r="A61" s="1">
        <v>255</v>
      </c>
      <c r="B61" s="2">
        <v>27203</v>
      </c>
      <c r="C61" s="2">
        <f>_xlfn.FLOOR.MATH([1]!Table1[[#This Row],[year]],10)</f>
        <v>1970</v>
      </c>
      <c r="D61" t="s">
        <v>25</v>
      </c>
      <c r="E61" t="s">
        <v>26</v>
      </c>
      <c r="F61">
        <v>3</v>
      </c>
      <c r="G61">
        <v>0</v>
      </c>
      <c r="H61" t="s">
        <v>74</v>
      </c>
      <c r="I61" t="s">
        <v>94</v>
      </c>
      <c r="J61" t="s">
        <v>16</v>
      </c>
      <c r="K61" t="b">
        <v>1</v>
      </c>
      <c r="L61">
        <v>1974</v>
      </c>
      <c r="M61">
        <v>65917634590.259903</v>
      </c>
      <c r="N61">
        <v>4090209681.9717202</v>
      </c>
      <c r="O61">
        <v>1</v>
      </c>
    </row>
    <row r="62" spans="1:15" x14ac:dyDescent="0.3">
      <c r="A62" s="1">
        <v>258</v>
      </c>
      <c r="B62" s="2">
        <v>27206</v>
      </c>
      <c r="C62" s="2">
        <f>_xlfn.FLOOR.MATH([1]!Table1[[#This Row],[year]],10)</f>
        <v>1970</v>
      </c>
      <c r="D62" t="s">
        <v>27</v>
      </c>
      <c r="E62" t="s">
        <v>19</v>
      </c>
      <c r="F62">
        <v>4</v>
      </c>
      <c r="G62">
        <v>0</v>
      </c>
      <c r="H62" t="s">
        <v>74</v>
      </c>
      <c r="I62" t="s">
        <v>95</v>
      </c>
      <c r="J62" t="s">
        <v>16</v>
      </c>
      <c r="K62" t="b">
        <v>1</v>
      </c>
      <c r="L62">
        <v>1974</v>
      </c>
      <c r="M62">
        <v>87371810804.164307</v>
      </c>
      <c r="N62">
        <v>72436777342.455399</v>
      </c>
      <c r="O62">
        <v>1</v>
      </c>
    </row>
    <row r="63" spans="1:15" x14ac:dyDescent="0.3">
      <c r="A63" s="1">
        <v>260</v>
      </c>
      <c r="B63" s="2">
        <v>27210</v>
      </c>
      <c r="C63" s="2">
        <f>_xlfn.FLOOR.MATH([1]!Table1[[#This Row],[year]],10)</f>
        <v>1970</v>
      </c>
      <c r="D63" t="s">
        <v>19</v>
      </c>
      <c r="E63" t="s">
        <v>13</v>
      </c>
      <c r="F63">
        <v>1</v>
      </c>
      <c r="G63">
        <v>2</v>
      </c>
      <c r="H63" t="s">
        <v>74</v>
      </c>
      <c r="I63" t="s">
        <v>90</v>
      </c>
      <c r="J63" t="s">
        <v>16</v>
      </c>
      <c r="K63" t="b">
        <v>1</v>
      </c>
      <c r="L63">
        <v>1974</v>
      </c>
      <c r="M63">
        <v>72436777342.455399</v>
      </c>
      <c r="N63">
        <v>109794519727.53799</v>
      </c>
      <c r="O63">
        <v>1</v>
      </c>
    </row>
    <row r="64" spans="1:15" x14ac:dyDescent="0.3">
      <c r="A64" s="1">
        <v>262</v>
      </c>
      <c r="B64" s="2">
        <v>27210</v>
      </c>
      <c r="C64" s="2">
        <f>_xlfn.FLOOR.MATH([1]!Table1[[#This Row],[year]],10)</f>
        <v>1970</v>
      </c>
      <c r="D64" t="s">
        <v>16</v>
      </c>
      <c r="E64" t="s">
        <v>25</v>
      </c>
      <c r="F64">
        <v>4</v>
      </c>
      <c r="G64">
        <v>2</v>
      </c>
      <c r="H64" t="s">
        <v>74</v>
      </c>
      <c r="I64" t="s">
        <v>94</v>
      </c>
      <c r="J64" t="s">
        <v>16</v>
      </c>
      <c r="K64" t="b">
        <v>0</v>
      </c>
      <c r="L64">
        <v>1974</v>
      </c>
      <c r="M64">
        <v>446934971657.47101</v>
      </c>
      <c r="N64">
        <v>65917634590.259903</v>
      </c>
      <c r="O64">
        <v>1</v>
      </c>
    </row>
    <row r="65" spans="1:15" x14ac:dyDescent="0.3">
      <c r="A65" s="1">
        <v>266</v>
      </c>
      <c r="B65" s="2">
        <v>27213</v>
      </c>
      <c r="C65" s="2">
        <f>_xlfn.FLOOR.MATH([1]!Table1[[#This Row],[year]],10)</f>
        <v>1970</v>
      </c>
      <c r="D65" t="s">
        <v>27</v>
      </c>
      <c r="E65" t="s">
        <v>13</v>
      </c>
      <c r="F65">
        <v>2</v>
      </c>
      <c r="G65">
        <v>0</v>
      </c>
      <c r="H65" t="s">
        <v>74</v>
      </c>
      <c r="I65" t="s">
        <v>93</v>
      </c>
      <c r="J65" t="s">
        <v>16</v>
      </c>
      <c r="K65" t="b">
        <v>1</v>
      </c>
      <c r="L65">
        <v>1974</v>
      </c>
      <c r="M65">
        <v>87371810804.164307</v>
      </c>
      <c r="N65">
        <v>109794519727.53799</v>
      </c>
      <c r="O65">
        <v>-1</v>
      </c>
    </row>
    <row r="66" spans="1:15" x14ac:dyDescent="0.3">
      <c r="A66" s="1">
        <v>269</v>
      </c>
      <c r="B66" s="2">
        <v>27217</v>
      </c>
      <c r="C66" s="2">
        <f>_xlfn.FLOOR.MATH([1]!Table1[[#This Row],[year]],10)</f>
        <v>1970</v>
      </c>
      <c r="D66" t="s">
        <v>16</v>
      </c>
      <c r="E66" t="s">
        <v>27</v>
      </c>
      <c r="F66">
        <v>2</v>
      </c>
      <c r="G66">
        <v>1</v>
      </c>
      <c r="H66" t="s">
        <v>74</v>
      </c>
      <c r="I66" t="s">
        <v>89</v>
      </c>
      <c r="J66" t="s">
        <v>16</v>
      </c>
      <c r="K66" t="b">
        <v>0</v>
      </c>
      <c r="L66">
        <v>1974</v>
      </c>
      <c r="M66">
        <v>446934971657.47101</v>
      </c>
      <c r="N66">
        <v>87371810804.164307</v>
      </c>
      <c r="O66">
        <v>1</v>
      </c>
    </row>
    <row r="67" spans="1:15" x14ac:dyDescent="0.3">
      <c r="A67" s="1">
        <v>271</v>
      </c>
      <c r="B67" s="2">
        <v>28643</v>
      </c>
      <c r="C67" s="2">
        <f>_xlfn.FLOOR.MATH([1]!Table1[[#This Row],[year]],10)</f>
        <v>1970</v>
      </c>
      <c r="D67" t="s">
        <v>19</v>
      </c>
      <c r="E67" t="s">
        <v>30</v>
      </c>
      <c r="F67">
        <v>2</v>
      </c>
      <c r="G67">
        <v>1</v>
      </c>
      <c r="H67" t="s">
        <v>74</v>
      </c>
      <c r="I67" t="s">
        <v>96</v>
      </c>
      <c r="J67" t="s">
        <v>19</v>
      </c>
      <c r="K67" t="b">
        <v>0</v>
      </c>
      <c r="L67">
        <v>1978</v>
      </c>
      <c r="M67">
        <v>89049453088.328201</v>
      </c>
      <c r="N67">
        <v>17286744153.707001</v>
      </c>
      <c r="O67">
        <v>1</v>
      </c>
    </row>
    <row r="68" spans="1:15" x14ac:dyDescent="0.3">
      <c r="A68" s="1">
        <v>272</v>
      </c>
      <c r="B68" s="2">
        <v>28643</v>
      </c>
      <c r="C68" s="2">
        <f>_xlfn.FLOOR.MATH([1]!Table1[[#This Row],[year]],10)</f>
        <v>1970</v>
      </c>
      <c r="D68" t="s">
        <v>20</v>
      </c>
      <c r="E68" t="s">
        <v>18</v>
      </c>
      <c r="F68">
        <v>1</v>
      </c>
      <c r="G68">
        <v>2</v>
      </c>
      <c r="H68" t="s">
        <v>74</v>
      </c>
      <c r="I68" t="s">
        <v>97</v>
      </c>
      <c r="J68" t="s">
        <v>19</v>
      </c>
      <c r="K68" t="b">
        <v>1</v>
      </c>
      <c r="L68">
        <v>1978</v>
      </c>
      <c r="M68">
        <v>501724418604.651</v>
      </c>
      <c r="N68">
        <v>315784469541.40997</v>
      </c>
      <c r="O68">
        <v>-1</v>
      </c>
    </row>
    <row r="69" spans="1:15" x14ac:dyDescent="0.3">
      <c r="A69" s="1">
        <v>273</v>
      </c>
      <c r="B69" s="2">
        <v>28643</v>
      </c>
      <c r="C69" s="2">
        <f>_xlfn.FLOOR.MATH([1]!Table1[[#This Row],[year]],10)</f>
        <v>1970</v>
      </c>
      <c r="D69" t="s">
        <v>17</v>
      </c>
      <c r="E69" t="s">
        <v>53</v>
      </c>
      <c r="F69">
        <v>1</v>
      </c>
      <c r="G69">
        <v>3</v>
      </c>
      <c r="H69" t="s">
        <v>74</v>
      </c>
      <c r="I69" t="s">
        <v>98</v>
      </c>
      <c r="J69" t="s">
        <v>19</v>
      </c>
      <c r="K69" t="b">
        <v>1</v>
      </c>
      <c r="L69">
        <v>1978</v>
      </c>
      <c r="M69">
        <v>102648570299.117</v>
      </c>
      <c r="N69">
        <v>5968460080.1113005</v>
      </c>
      <c r="O69">
        <v>-1</v>
      </c>
    </row>
    <row r="70" spans="1:15" x14ac:dyDescent="0.3">
      <c r="A70" s="1">
        <v>274</v>
      </c>
      <c r="B70" s="2">
        <v>28644</v>
      </c>
      <c r="C70" s="2">
        <f>_xlfn.FLOOR.MATH([1]!Table1[[#This Row],[year]],10)</f>
        <v>1970</v>
      </c>
      <c r="D70" t="s">
        <v>29</v>
      </c>
      <c r="E70" t="s">
        <v>21</v>
      </c>
      <c r="F70">
        <v>2</v>
      </c>
      <c r="G70">
        <v>1</v>
      </c>
      <c r="H70" t="s">
        <v>74</v>
      </c>
      <c r="I70" t="s">
        <v>96</v>
      </c>
      <c r="J70" t="s">
        <v>19</v>
      </c>
      <c r="K70" t="b">
        <v>1</v>
      </c>
      <c r="L70">
        <v>1978</v>
      </c>
      <c r="M70">
        <v>61809208755.804001</v>
      </c>
      <c r="N70">
        <v>160484969618.056</v>
      </c>
      <c r="O70">
        <v>-1</v>
      </c>
    </row>
    <row r="71" spans="1:15" x14ac:dyDescent="0.3">
      <c r="A71" s="1">
        <v>275</v>
      </c>
      <c r="B71" s="2">
        <v>28644</v>
      </c>
      <c r="C71" s="2">
        <f>_xlfn.FLOOR.MATH([1]!Table1[[#This Row],[year]],10)</f>
        <v>1970</v>
      </c>
      <c r="D71" t="s">
        <v>13</v>
      </c>
      <c r="E71" t="s">
        <v>25</v>
      </c>
      <c r="F71">
        <v>1</v>
      </c>
      <c r="G71">
        <v>1</v>
      </c>
      <c r="H71" t="s">
        <v>74</v>
      </c>
      <c r="I71" t="s">
        <v>97</v>
      </c>
      <c r="J71" t="s">
        <v>19</v>
      </c>
      <c r="K71" t="b">
        <v>1</v>
      </c>
      <c r="L71">
        <v>1978</v>
      </c>
      <c r="M71">
        <v>200278646123.58099</v>
      </c>
      <c r="N71">
        <v>104290933495.629</v>
      </c>
      <c r="O71">
        <v>0</v>
      </c>
    </row>
    <row r="72" spans="1:15" x14ac:dyDescent="0.3">
      <c r="A72" s="1">
        <v>276</v>
      </c>
      <c r="B72" s="2">
        <v>28644</v>
      </c>
      <c r="C72" s="2">
        <f>_xlfn.FLOOR.MATH([1]!Table1[[#This Row],[year]],10)</f>
        <v>1970</v>
      </c>
      <c r="D72" t="s">
        <v>225</v>
      </c>
      <c r="E72" t="s">
        <v>27</v>
      </c>
      <c r="F72">
        <v>0</v>
      </c>
      <c r="G72">
        <v>3</v>
      </c>
      <c r="H72" t="s">
        <v>74</v>
      </c>
      <c r="I72" t="s">
        <v>100</v>
      </c>
      <c r="J72" t="s">
        <v>19</v>
      </c>
      <c r="K72" t="b">
        <v>1</v>
      </c>
      <c r="L72">
        <v>1978</v>
      </c>
      <c r="M72">
        <v>77994316621.4814</v>
      </c>
      <c r="N72">
        <v>156089077205.133</v>
      </c>
      <c r="O72">
        <v>1</v>
      </c>
    </row>
    <row r="73" spans="1:15" x14ac:dyDescent="0.3">
      <c r="A73" s="1">
        <v>278</v>
      </c>
      <c r="B73" s="2">
        <v>28647</v>
      </c>
      <c r="C73" s="2">
        <f>_xlfn.FLOOR.MATH([1]!Table1[[#This Row],[year]],10)</f>
        <v>1970</v>
      </c>
      <c r="D73" t="s">
        <v>19</v>
      </c>
      <c r="E73" t="s">
        <v>20</v>
      </c>
      <c r="F73">
        <v>2</v>
      </c>
      <c r="G73">
        <v>1</v>
      </c>
      <c r="H73" t="s">
        <v>74</v>
      </c>
      <c r="I73" t="s">
        <v>96</v>
      </c>
      <c r="J73" t="s">
        <v>19</v>
      </c>
      <c r="K73" t="b">
        <v>0</v>
      </c>
      <c r="L73">
        <v>1978</v>
      </c>
      <c r="M73">
        <v>89049453088.328201</v>
      </c>
      <c r="N73">
        <v>501724418604.651</v>
      </c>
      <c r="O73">
        <v>-1</v>
      </c>
    </row>
    <row r="74" spans="1:15" x14ac:dyDescent="0.3">
      <c r="A74" s="1">
        <v>279</v>
      </c>
      <c r="B74" s="2">
        <v>28647</v>
      </c>
      <c r="C74" s="2">
        <f>_xlfn.FLOOR.MATH([1]!Table1[[#This Row],[year]],10)</f>
        <v>1970</v>
      </c>
      <c r="D74" t="s">
        <v>16</v>
      </c>
      <c r="E74" t="s">
        <v>17</v>
      </c>
      <c r="F74">
        <v>6</v>
      </c>
      <c r="G74">
        <v>0</v>
      </c>
      <c r="H74" t="s">
        <v>74</v>
      </c>
      <c r="I74" t="s">
        <v>99</v>
      </c>
      <c r="J74" t="s">
        <v>19</v>
      </c>
      <c r="K74" t="b">
        <v>1</v>
      </c>
      <c r="L74">
        <v>1978</v>
      </c>
      <c r="M74">
        <v>743182891918.20801</v>
      </c>
      <c r="N74">
        <v>102648570299.117</v>
      </c>
      <c r="O74">
        <v>1</v>
      </c>
    </row>
    <row r="75" spans="1:15" x14ac:dyDescent="0.3">
      <c r="A75" s="1">
        <v>280</v>
      </c>
      <c r="B75" s="2">
        <v>28647</v>
      </c>
      <c r="C75" s="2">
        <f>_xlfn.FLOOR.MATH([1]!Table1[[#This Row],[year]],10)</f>
        <v>1970</v>
      </c>
      <c r="D75" t="s">
        <v>30</v>
      </c>
      <c r="E75" t="s">
        <v>18</v>
      </c>
      <c r="F75">
        <v>1</v>
      </c>
      <c r="G75">
        <v>3</v>
      </c>
      <c r="H75" t="s">
        <v>74</v>
      </c>
      <c r="I75" t="s">
        <v>97</v>
      </c>
      <c r="J75" t="s">
        <v>19</v>
      </c>
      <c r="K75" t="b">
        <v>1</v>
      </c>
      <c r="L75">
        <v>1978</v>
      </c>
      <c r="M75">
        <v>17286744153.707001</v>
      </c>
      <c r="N75">
        <v>315784469541.40997</v>
      </c>
      <c r="O75">
        <v>1</v>
      </c>
    </row>
    <row r="76" spans="1:15" x14ac:dyDescent="0.3">
      <c r="A76" s="1">
        <v>282</v>
      </c>
      <c r="B76" s="2">
        <v>28648</v>
      </c>
      <c r="C76" s="2">
        <f>_xlfn.FLOOR.MATH([1]!Table1[[#This Row],[year]],10)</f>
        <v>1970</v>
      </c>
      <c r="D76" t="s">
        <v>29</v>
      </c>
      <c r="E76" t="s">
        <v>25</v>
      </c>
      <c r="F76">
        <v>1</v>
      </c>
      <c r="G76">
        <v>0</v>
      </c>
      <c r="H76" t="s">
        <v>74</v>
      </c>
      <c r="I76" t="s">
        <v>96</v>
      </c>
      <c r="J76" t="s">
        <v>19</v>
      </c>
      <c r="K76" t="b">
        <v>1</v>
      </c>
      <c r="L76">
        <v>1978</v>
      </c>
      <c r="M76">
        <v>61809208755.804001</v>
      </c>
      <c r="N76">
        <v>104290933495.629</v>
      </c>
      <c r="O76">
        <v>-1</v>
      </c>
    </row>
    <row r="77" spans="1:15" x14ac:dyDescent="0.3">
      <c r="A77" s="1">
        <v>283</v>
      </c>
      <c r="B77" s="2">
        <v>28648</v>
      </c>
      <c r="C77" s="2">
        <f>_xlfn.FLOOR.MATH([1]!Table1[[#This Row],[year]],10)</f>
        <v>1970</v>
      </c>
      <c r="D77" t="s">
        <v>13</v>
      </c>
      <c r="E77" t="s">
        <v>21</v>
      </c>
      <c r="F77">
        <v>0</v>
      </c>
      <c r="G77">
        <v>0</v>
      </c>
      <c r="H77" t="s">
        <v>74</v>
      </c>
      <c r="I77" t="s">
        <v>97</v>
      </c>
      <c r="J77" t="s">
        <v>19</v>
      </c>
      <c r="K77" t="b">
        <v>1</v>
      </c>
      <c r="L77">
        <v>1978</v>
      </c>
      <c r="M77">
        <v>200278646123.58099</v>
      </c>
      <c r="N77">
        <v>160484969618.056</v>
      </c>
      <c r="O77">
        <v>0</v>
      </c>
    </row>
    <row r="78" spans="1:15" x14ac:dyDescent="0.3">
      <c r="A78" s="1">
        <v>285</v>
      </c>
      <c r="B78" s="2">
        <v>28648</v>
      </c>
      <c r="C78" s="2">
        <f>_xlfn.FLOOR.MATH([1]!Table1[[#This Row],[year]],10)</f>
        <v>1970</v>
      </c>
      <c r="D78" t="s">
        <v>27</v>
      </c>
      <c r="E78" t="s">
        <v>31</v>
      </c>
      <c r="F78">
        <v>0</v>
      </c>
      <c r="G78">
        <v>0</v>
      </c>
      <c r="H78" t="s">
        <v>74</v>
      </c>
      <c r="I78" t="s">
        <v>100</v>
      </c>
      <c r="J78" t="s">
        <v>19</v>
      </c>
      <c r="K78" t="b">
        <v>1</v>
      </c>
      <c r="L78">
        <v>1978</v>
      </c>
      <c r="M78">
        <v>156089077205.133</v>
      </c>
      <c r="N78">
        <v>12491876742.9708</v>
      </c>
      <c r="O78">
        <v>0</v>
      </c>
    </row>
    <row r="79" spans="1:15" x14ac:dyDescent="0.3">
      <c r="A79" s="1">
        <v>286</v>
      </c>
      <c r="B79" s="2">
        <v>28651</v>
      </c>
      <c r="C79" s="2">
        <f>_xlfn.FLOOR.MATH([1]!Table1[[#This Row],[year]],10)</f>
        <v>1970</v>
      </c>
      <c r="D79" t="s">
        <v>19</v>
      </c>
      <c r="E79" t="s">
        <v>18</v>
      </c>
      <c r="F79">
        <v>0</v>
      </c>
      <c r="G79">
        <v>1</v>
      </c>
      <c r="H79" t="s">
        <v>74</v>
      </c>
      <c r="I79" t="s">
        <v>96</v>
      </c>
      <c r="J79" t="s">
        <v>19</v>
      </c>
      <c r="K79" t="b">
        <v>0</v>
      </c>
      <c r="L79">
        <v>1978</v>
      </c>
      <c r="M79">
        <v>89049453088.328201</v>
      </c>
      <c r="N79">
        <v>315784469541.40997</v>
      </c>
      <c r="O79">
        <v>1</v>
      </c>
    </row>
    <row r="80" spans="1:15" x14ac:dyDescent="0.3">
      <c r="A80" s="1">
        <v>287</v>
      </c>
      <c r="B80" s="2">
        <v>28651</v>
      </c>
      <c r="C80" s="2">
        <f>_xlfn.FLOOR.MATH([1]!Table1[[#This Row],[year]],10)</f>
        <v>1970</v>
      </c>
      <c r="D80" t="s">
        <v>20</v>
      </c>
      <c r="E80" t="s">
        <v>30</v>
      </c>
      <c r="F80">
        <v>3</v>
      </c>
      <c r="G80">
        <v>1</v>
      </c>
      <c r="H80" t="s">
        <v>74</v>
      </c>
      <c r="I80" t="s">
        <v>97</v>
      </c>
      <c r="J80" t="s">
        <v>19</v>
      </c>
      <c r="K80" t="b">
        <v>1</v>
      </c>
      <c r="L80">
        <v>1978</v>
      </c>
      <c r="M80">
        <v>501724418604.651</v>
      </c>
      <c r="N80">
        <v>17286744153.707001</v>
      </c>
      <c r="O80">
        <v>1</v>
      </c>
    </row>
    <row r="81" spans="1:15" x14ac:dyDescent="0.3">
      <c r="A81" s="1">
        <v>288</v>
      </c>
      <c r="B81" s="2">
        <v>28651</v>
      </c>
      <c r="C81" s="2">
        <f>_xlfn.FLOOR.MATH([1]!Table1[[#This Row],[year]],10)</f>
        <v>1970</v>
      </c>
      <c r="D81" t="s">
        <v>16</v>
      </c>
      <c r="E81" t="s">
        <v>53</v>
      </c>
      <c r="F81">
        <v>0</v>
      </c>
      <c r="G81">
        <v>0</v>
      </c>
      <c r="H81" t="s">
        <v>74</v>
      </c>
      <c r="I81" t="s">
        <v>99</v>
      </c>
      <c r="J81" t="s">
        <v>19</v>
      </c>
      <c r="K81" t="b">
        <v>1</v>
      </c>
      <c r="L81">
        <v>1978</v>
      </c>
      <c r="M81">
        <v>743182891918.20801</v>
      </c>
      <c r="N81">
        <v>5968460080.1113005</v>
      </c>
      <c r="O81">
        <v>0</v>
      </c>
    </row>
    <row r="82" spans="1:15" x14ac:dyDescent="0.3">
      <c r="A82" s="1">
        <v>290</v>
      </c>
      <c r="B82" s="2">
        <v>28652</v>
      </c>
      <c r="C82" s="2">
        <f>_xlfn.FLOOR.MATH([1]!Table1[[#This Row],[year]],10)</f>
        <v>1970</v>
      </c>
      <c r="D82" t="s">
        <v>29</v>
      </c>
      <c r="E82" t="s">
        <v>13</v>
      </c>
      <c r="F82">
        <v>0</v>
      </c>
      <c r="G82">
        <v>1</v>
      </c>
      <c r="H82" t="s">
        <v>74</v>
      </c>
      <c r="I82" t="s">
        <v>97</v>
      </c>
      <c r="J82" t="s">
        <v>19</v>
      </c>
      <c r="K82" t="b">
        <v>1</v>
      </c>
      <c r="L82">
        <v>1978</v>
      </c>
      <c r="M82">
        <v>61809208755.804001</v>
      </c>
      <c r="N82">
        <v>200278646123.58099</v>
      </c>
      <c r="O82">
        <v>1</v>
      </c>
    </row>
    <row r="83" spans="1:15" x14ac:dyDescent="0.3">
      <c r="A83" s="1">
        <v>291</v>
      </c>
      <c r="B83" s="2">
        <v>28652</v>
      </c>
      <c r="C83" s="2">
        <f>_xlfn.FLOOR.MATH([1]!Table1[[#This Row],[year]],10)</f>
        <v>1970</v>
      </c>
      <c r="D83" t="s">
        <v>225</v>
      </c>
      <c r="E83" t="s">
        <v>31</v>
      </c>
      <c r="F83">
        <v>1</v>
      </c>
      <c r="G83">
        <v>4</v>
      </c>
      <c r="H83" t="s">
        <v>74</v>
      </c>
      <c r="I83" t="s">
        <v>99</v>
      </c>
      <c r="J83" t="s">
        <v>19</v>
      </c>
      <c r="K83" t="b">
        <v>1</v>
      </c>
      <c r="L83">
        <v>1978</v>
      </c>
      <c r="M83">
        <v>77994316621.4814</v>
      </c>
      <c r="N83">
        <v>12491876742.9708</v>
      </c>
      <c r="O83">
        <v>-1</v>
      </c>
    </row>
    <row r="84" spans="1:15" x14ac:dyDescent="0.3">
      <c r="A84" s="1">
        <v>293</v>
      </c>
      <c r="B84" s="2">
        <v>28652</v>
      </c>
      <c r="C84" s="2">
        <f>_xlfn.FLOOR.MATH([1]!Table1[[#This Row],[year]],10)</f>
        <v>1970</v>
      </c>
      <c r="D84" t="s">
        <v>21</v>
      </c>
      <c r="E84" t="s">
        <v>25</v>
      </c>
      <c r="F84">
        <v>1</v>
      </c>
      <c r="G84">
        <v>0</v>
      </c>
      <c r="H84" t="s">
        <v>74</v>
      </c>
      <c r="I84" t="s">
        <v>96</v>
      </c>
      <c r="J84" t="s">
        <v>19</v>
      </c>
      <c r="K84" t="b">
        <v>1</v>
      </c>
      <c r="L84">
        <v>1978</v>
      </c>
      <c r="M84">
        <v>160484969618.056</v>
      </c>
      <c r="N84">
        <v>104290933495.629</v>
      </c>
      <c r="O84">
        <v>1</v>
      </c>
    </row>
    <row r="85" spans="1:15" x14ac:dyDescent="0.3">
      <c r="A85" s="1">
        <v>295</v>
      </c>
      <c r="B85" s="2">
        <v>28655</v>
      </c>
      <c r="C85" s="2">
        <f>_xlfn.FLOOR.MATH([1]!Table1[[#This Row],[year]],10)</f>
        <v>1970</v>
      </c>
      <c r="D85" t="s">
        <v>29</v>
      </c>
      <c r="E85" t="s">
        <v>27</v>
      </c>
      <c r="F85">
        <v>1</v>
      </c>
      <c r="G85">
        <v>5</v>
      </c>
      <c r="H85" t="s">
        <v>74</v>
      </c>
      <c r="I85" t="s">
        <v>99</v>
      </c>
      <c r="J85" t="s">
        <v>19</v>
      </c>
      <c r="K85" t="b">
        <v>1</v>
      </c>
      <c r="L85">
        <v>1978</v>
      </c>
      <c r="M85">
        <v>61809208755.804001</v>
      </c>
      <c r="N85">
        <v>156089077205.133</v>
      </c>
      <c r="O85">
        <v>1</v>
      </c>
    </row>
    <row r="86" spans="1:15" x14ac:dyDescent="0.3">
      <c r="A86" s="1">
        <v>296</v>
      </c>
      <c r="B86" s="2">
        <v>28655</v>
      </c>
      <c r="C86" s="2">
        <f>_xlfn.FLOOR.MATH([1]!Table1[[#This Row],[year]],10)</f>
        <v>1970</v>
      </c>
      <c r="D86" t="s">
        <v>13</v>
      </c>
      <c r="E86" t="s">
        <v>31</v>
      </c>
      <c r="F86">
        <v>3</v>
      </c>
      <c r="G86">
        <v>0</v>
      </c>
      <c r="H86" t="s">
        <v>74</v>
      </c>
      <c r="I86" t="s">
        <v>100</v>
      </c>
      <c r="J86" t="s">
        <v>19</v>
      </c>
      <c r="K86" t="b">
        <v>1</v>
      </c>
      <c r="L86">
        <v>1978</v>
      </c>
      <c r="M86">
        <v>200278646123.58099</v>
      </c>
      <c r="N86">
        <v>12491876742.9708</v>
      </c>
      <c r="O86">
        <v>1</v>
      </c>
    </row>
    <row r="87" spans="1:15" x14ac:dyDescent="0.3">
      <c r="A87" s="1">
        <v>297</v>
      </c>
      <c r="B87" s="2">
        <v>28655</v>
      </c>
      <c r="C87" s="2">
        <f>_xlfn.FLOOR.MATH([1]!Table1[[#This Row],[year]],10)</f>
        <v>1970</v>
      </c>
      <c r="D87" t="s">
        <v>16</v>
      </c>
      <c r="E87" t="s">
        <v>18</v>
      </c>
      <c r="F87">
        <v>0</v>
      </c>
      <c r="G87">
        <v>0</v>
      </c>
      <c r="H87" t="s">
        <v>74</v>
      </c>
      <c r="I87" t="s">
        <v>96</v>
      </c>
      <c r="J87" t="s">
        <v>19</v>
      </c>
      <c r="K87" t="b">
        <v>1</v>
      </c>
      <c r="L87">
        <v>1978</v>
      </c>
      <c r="M87">
        <v>743182891918.20801</v>
      </c>
      <c r="N87">
        <v>315784469541.40997</v>
      </c>
      <c r="O87">
        <v>0</v>
      </c>
    </row>
    <row r="88" spans="1:15" x14ac:dyDescent="0.3">
      <c r="A88" s="1">
        <v>298</v>
      </c>
      <c r="B88" s="2">
        <v>28659</v>
      </c>
      <c r="C88" s="2">
        <f>_xlfn.FLOOR.MATH([1]!Table1[[#This Row],[year]],10)</f>
        <v>1970</v>
      </c>
      <c r="D88" t="s">
        <v>19</v>
      </c>
      <c r="E88" t="s">
        <v>13</v>
      </c>
      <c r="F88">
        <v>0</v>
      </c>
      <c r="G88">
        <v>0</v>
      </c>
      <c r="H88" t="s">
        <v>74</v>
      </c>
      <c r="I88" t="s">
        <v>98</v>
      </c>
      <c r="J88" t="s">
        <v>19</v>
      </c>
      <c r="K88" t="b">
        <v>0</v>
      </c>
      <c r="L88">
        <v>1978</v>
      </c>
      <c r="M88">
        <v>89049453088.328201</v>
      </c>
      <c r="N88">
        <v>200278646123.58099</v>
      </c>
      <c r="O88">
        <v>0</v>
      </c>
    </row>
    <row r="89" spans="1:15" x14ac:dyDescent="0.3">
      <c r="A89" s="1">
        <v>299</v>
      </c>
      <c r="B89" s="2">
        <v>28659</v>
      </c>
      <c r="C89" s="2">
        <f>_xlfn.FLOOR.MATH([1]!Table1[[#This Row],[year]],10)</f>
        <v>1970</v>
      </c>
      <c r="D89" t="s">
        <v>29</v>
      </c>
      <c r="E89" t="s">
        <v>18</v>
      </c>
      <c r="F89">
        <v>0</v>
      </c>
      <c r="G89">
        <v>1</v>
      </c>
      <c r="H89" t="s">
        <v>74</v>
      </c>
      <c r="I89" t="s">
        <v>96</v>
      </c>
      <c r="J89" t="s">
        <v>19</v>
      </c>
      <c r="K89" t="b">
        <v>1</v>
      </c>
      <c r="L89">
        <v>1978</v>
      </c>
      <c r="M89">
        <v>61809208755.804001</v>
      </c>
      <c r="N89">
        <v>315784469541.40997</v>
      </c>
      <c r="O89">
        <v>1</v>
      </c>
    </row>
    <row r="90" spans="1:15" x14ac:dyDescent="0.3">
      <c r="A90" s="1">
        <v>300</v>
      </c>
      <c r="B90" s="2">
        <v>28659</v>
      </c>
      <c r="C90" s="2">
        <f>_xlfn.FLOOR.MATH([1]!Table1[[#This Row],[year]],10)</f>
        <v>1970</v>
      </c>
      <c r="D90" t="s">
        <v>16</v>
      </c>
      <c r="E90" t="s">
        <v>27</v>
      </c>
      <c r="F90">
        <v>2</v>
      </c>
      <c r="G90">
        <v>2</v>
      </c>
      <c r="H90" t="s">
        <v>74</v>
      </c>
      <c r="I90" t="s">
        <v>99</v>
      </c>
      <c r="J90" t="s">
        <v>19</v>
      </c>
      <c r="K90" t="b">
        <v>1</v>
      </c>
      <c r="L90">
        <v>1978</v>
      </c>
      <c r="M90">
        <v>743182891918.20801</v>
      </c>
      <c r="N90">
        <v>156089077205.133</v>
      </c>
      <c r="O90">
        <v>0</v>
      </c>
    </row>
    <row r="91" spans="1:15" x14ac:dyDescent="0.3">
      <c r="A91" s="1">
        <v>302</v>
      </c>
      <c r="B91" s="2">
        <v>28662</v>
      </c>
      <c r="C91" s="2">
        <f>_xlfn.FLOOR.MATH([1]!Table1[[#This Row],[year]],10)</f>
        <v>1970</v>
      </c>
      <c r="D91" t="s">
        <v>19</v>
      </c>
      <c r="E91" t="s">
        <v>31</v>
      </c>
      <c r="F91">
        <v>6</v>
      </c>
      <c r="G91">
        <v>0</v>
      </c>
      <c r="H91" t="s">
        <v>74</v>
      </c>
      <c r="I91" t="s">
        <v>98</v>
      </c>
      <c r="J91" t="s">
        <v>19</v>
      </c>
      <c r="K91" t="b">
        <v>0</v>
      </c>
      <c r="L91">
        <v>1978</v>
      </c>
      <c r="M91">
        <v>89049453088.328201</v>
      </c>
      <c r="N91">
        <v>12491876742.9708</v>
      </c>
      <c r="O91">
        <v>1</v>
      </c>
    </row>
    <row r="92" spans="1:15" x14ac:dyDescent="0.3">
      <c r="A92" s="1">
        <v>303</v>
      </c>
      <c r="B92" s="2">
        <v>28662</v>
      </c>
      <c r="C92" s="2">
        <f>_xlfn.FLOOR.MATH([1]!Table1[[#This Row],[year]],10)</f>
        <v>1970</v>
      </c>
      <c r="D92" t="s">
        <v>29</v>
      </c>
      <c r="E92" t="s">
        <v>16</v>
      </c>
      <c r="F92">
        <v>3</v>
      </c>
      <c r="G92">
        <v>2</v>
      </c>
      <c r="H92" t="s">
        <v>74</v>
      </c>
      <c r="I92" t="s">
        <v>99</v>
      </c>
      <c r="J92" t="s">
        <v>19</v>
      </c>
      <c r="K92" t="b">
        <v>1</v>
      </c>
      <c r="L92">
        <v>1978</v>
      </c>
      <c r="M92">
        <v>61809208755.804001</v>
      </c>
      <c r="N92">
        <v>743182891918.20801</v>
      </c>
      <c r="O92">
        <v>-1</v>
      </c>
    </row>
    <row r="93" spans="1:15" x14ac:dyDescent="0.3">
      <c r="A93" s="1">
        <v>305</v>
      </c>
      <c r="B93" s="2">
        <v>28662</v>
      </c>
      <c r="C93" s="2">
        <f>_xlfn.FLOOR.MATH([1]!Table1[[#This Row],[year]],10)</f>
        <v>1970</v>
      </c>
      <c r="D93" t="s">
        <v>18</v>
      </c>
      <c r="E93" t="s">
        <v>27</v>
      </c>
      <c r="F93">
        <v>1</v>
      </c>
      <c r="G93">
        <v>2</v>
      </c>
      <c r="H93" t="s">
        <v>74</v>
      </c>
      <c r="I93" t="s">
        <v>96</v>
      </c>
      <c r="J93" t="s">
        <v>19</v>
      </c>
      <c r="K93" t="b">
        <v>1</v>
      </c>
      <c r="L93">
        <v>1978</v>
      </c>
      <c r="M93">
        <v>315784469541.40997</v>
      </c>
      <c r="N93">
        <v>156089077205.133</v>
      </c>
      <c r="O93">
        <v>-1</v>
      </c>
    </row>
    <row r="94" spans="1:15" x14ac:dyDescent="0.3">
      <c r="A94" s="1">
        <v>306</v>
      </c>
      <c r="B94" s="2">
        <v>28665</v>
      </c>
      <c r="C94" s="2">
        <f>_xlfn.FLOOR.MATH([1]!Table1[[#This Row],[year]],10)</f>
        <v>1970</v>
      </c>
      <c r="D94" t="s">
        <v>13</v>
      </c>
      <c r="E94" t="s">
        <v>18</v>
      </c>
      <c r="F94">
        <v>2</v>
      </c>
      <c r="G94">
        <v>1</v>
      </c>
      <c r="H94" t="s">
        <v>74</v>
      </c>
      <c r="I94" t="s">
        <v>96</v>
      </c>
      <c r="J94" t="s">
        <v>19</v>
      </c>
      <c r="K94" t="b">
        <v>1</v>
      </c>
      <c r="L94">
        <v>1978</v>
      </c>
      <c r="M94">
        <v>200278646123.58099</v>
      </c>
      <c r="N94">
        <v>315784469541.40997</v>
      </c>
      <c r="O94">
        <v>-1</v>
      </c>
    </row>
    <row r="95" spans="1:15" x14ac:dyDescent="0.3">
      <c r="A95" s="1">
        <v>307</v>
      </c>
      <c r="B95" s="2">
        <v>28666</v>
      </c>
      <c r="C95" s="2">
        <f>_xlfn.FLOOR.MATH([1]!Table1[[#This Row],[year]],10)</f>
        <v>1970</v>
      </c>
      <c r="D95" t="s">
        <v>19</v>
      </c>
      <c r="E95" t="s">
        <v>27</v>
      </c>
      <c r="F95">
        <v>3</v>
      </c>
      <c r="G95">
        <v>1</v>
      </c>
      <c r="H95" t="s">
        <v>74</v>
      </c>
      <c r="I95" t="s">
        <v>96</v>
      </c>
      <c r="J95" t="s">
        <v>19</v>
      </c>
      <c r="K95" t="b">
        <v>0</v>
      </c>
      <c r="L95">
        <v>1978</v>
      </c>
      <c r="M95">
        <v>89049453088.328201</v>
      </c>
      <c r="N95">
        <v>156089077205.133</v>
      </c>
      <c r="O95">
        <v>-1</v>
      </c>
    </row>
    <row r="96" spans="1:15" x14ac:dyDescent="0.3">
      <c r="A96" s="1">
        <v>308</v>
      </c>
      <c r="B96" s="2">
        <v>30115</v>
      </c>
      <c r="C96" s="2">
        <f>_xlfn.FLOOR.MATH([1]!Table1[[#This Row],[year]],10)</f>
        <v>1980</v>
      </c>
      <c r="D96" t="s">
        <v>19</v>
      </c>
      <c r="E96" t="s">
        <v>23</v>
      </c>
      <c r="F96">
        <v>0</v>
      </c>
      <c r="G96">
        <v>1</v>
      </c>
      <c r="H96" t="s">
        <v>74</v>
      </c>
      <c r="I96" t="s">
        <v>101</v>
      </c>
      <c r="J96" t="s">
        <v>21</v>
      </c>
      <c r="K96" t="b">
        <v>1</v>
      </c>
      <c r="L96">
        <v>1982</v>
      </c>
      <c r="M96">
        <v>84307486836.723999</v>
      </c>
      <c r="N96">
        <v>92095926187.533096</v>
      </c>
      <c r="O96">
        <v>1</v>
      </c>
    </row>
    <row r="97" spans="1:15" x14ac:dyDescent="0.3">
      <c r="A97" s="1">
        <v>311</v>
      </c>
      <c r="B97" s="2">
        <v>30117</v>
      </c>
      <c r="C97" s="2">
        <f>_xlfn.FLOOR.MATH([1]!Table1[[#This Row],[year]],10)</f>
        <v>1980</v>
      </c>
      <c r="D97" t="s">
        <v>30</v>
      </c>
      <c r="E97" t="s">
        <v>69</v>
      </c>
      <c r="F97">
        <v>10</v>
      </c>
      <c r="G97">
        <v>1</v>
      </c>
      <c r="H97" t="s">
        <v>74</v>
      </c>
      <c r="I97" t="s">
        <v>102</v>
      </c>
      <c r="J97" t="s">
        <v>21</v>
      </c>
      <c r="K97" t="b">
        <v>1</v>
      </c>
      <c r="L97">
        <v>1982</v>
      </c>
      <c r="M97">
        <v>24141667188.051701</v>
      </c>
      <c r="N97">
        <v>3399189100</v>
      </c>
      <c r="O97">
        <v>1</v>
      </c>
    </row>
    <row r="98" spans="1:15" x14ac:dyDescent="0.3">
      <c r="A98" s="1">
        <v>312</v>
      </c>
      <c r="B98" s="2">
        <v>30117</v>
      </c>
      <c r="C98" s="2">
        <f>_xlfn.FLOOR.MATH([1]!Table1[[#This Row],[year]],10)</f>
        <v>1980</v>
      </c>
      <c r="D98" t="s">
        <v>31</v>
      </c>
      <c r="E98" t="s">
        <v>40</v>
      </c>
      <c r="F98">
        <v>0</v>
      </c>
      <c r="G98">
        <v>0</v>
      </c>
      <c r="H98" t="s">
        <v>74</v>
      </c>
      <c r="I98" t="s">
        <v>103</v>
      </c>
      <c r="J98" t="s">
        <v>21</v>
      </c>
      <c r="K98" t="b">
        <v>1</v>
      </c>
      <c r="L98">
        <v>1982</v>
      </c>
      <c r="M98">
        <v>21794535621.216</v>
      </c>
      <c r="N98">
        <v>6611255963.8358402</v>
      </c>
      <c r="O98">
        <v>0</v>
      </c>
    </row>
    <row r="99" spans="1:15" x14ac:dyDescent="0.3">
      <c r="A99" s="1">
        <v>314</v>
      </c>
      <c r="B99" s="2">
        <v>30118</v>
      </c>
      <c r="C99" s="2">
        <f>_xlfn.FLOOR.MATH([1]!Table1[[#This Row],[year]],10)</f>
        <v>1980</v>
      </c>
      <c r="D99" t="s">
        <v>207</v>
      </c>
      <c r="E99" t="s">
        <v>20</v>
      </c>
      <c r="F99">
        <v>3</v>
      </c>
      <c r="G99">
        <v>1</v>
      </c>
      <c r="H99" t="s">
        <v>74</v>
      </c>
      <c r="I99" t="s">
        <v>226</v>
      </c>
      <c r="J99" t="s">
        <v>21</v>
      </c>
      <c r="K99" t="b">
        <v>1</v>
      </c>
      <c r="L99">
        <v>1982</v>
      </c>
      <c r="M99">
        <v>515048916841.37</v>
      </c>
      <c r="N99">
        <v>578152310609.84094</v>
      </c>
      <c r="O99">
        <v>-1</v>
      </c>
    </row>
    <row r="100" spans="1:15" x14ac:dyDescent="0.3">
      <c r="A100" s="1">
        <v>315</v>
      </c>
      <c r="B100" s="2">
        <v>30118</v>
      </c>
      <c r="C100" s="2">
        <f>_xlfn.FLOOR.MATH([1]!Table1[[#This Row],[year]],10)</f>
        <v>1980</v>
      </c>
      <c r="D100" t="s">
        <v>16</v>
      </c>
      <c r="E100" t="s">
        <v>32</v>
      </c>
      <c r="F100">
        <v>1</v>
      </c>
      <c r="G100">
        <v>2</v>
      </c>
      <c r="H100" t="s">
        <v>74</v>
      </c>
      <c r="I100" t="s">
        <v>104</v>
      </c>
      <c r="J100" t="s">
        <v>21</v>
      </c>
      <c r="K100" t="b">
        <v>1</v>
      </c>
      <c r="L100">
        <v>1982</v>
      </c>
      <c r="M100">
        <v>779421633755.13794</v>
      </c>
      <c r="N100">
        <v>45207167470.349701</v>
      </c>
      <c r="O100">
        <v>-1</v>
      </c>
    </row>
    <row r="101" spans="1:15" x14ac:dyDescent="0.3">
      <c r="A101" s="1">
        <v>316</v>
      </c>
      <c r="B101" s="2">
        <v>30118</v>
      </c>
      <c r="C101" s="2">
        <f>_xlfn.FLOOR.MATH([1]!Table1[[#This Row],[year]],10)</f>
        <v>1980</v>
      </c>
      <c r="D101" t="s">
        <v>21</v>
      </c>
      <c r="E101" t="s">
        <v>65</v>
      </c>
      <c r="F101">
        <v>1</v>
      </c>
      <c r="G101">
        <v>1</v>
      </c>
      <c r="H101" t="s">
        <v>74</v>
      </c>
      <c r="I101" t="s">
        <v>105</v>
      </c>
      <c r="J101" t="s">
        <v>21</v>
      </c>
      <c r="K101" t="b">
        <v>0</v>
      </c>
      <c r="L101">
        <v>1982</v>
      </c>
      <c r="M101">
        <v>195856752991.065</v>
      </c>
      <c r="N101">
        <v>3619500000</v>
      </c>
      <c r="O101">
        <v>0</v>
      </c>
    </row>
    <row r="102" spans="1:15" x14ac:dyDescent="0.3">
      <c r="A102" s="1">
        <v>317</v>
      </c>
      <c r="B102" s="2">
        <v>30119</v>
      </c>
      <c r="C102" s="2">
        <f>_xlfn.FLOOR.MATH([1]!Table1[[#This Row],[year]],10)</f>
        <v>1980</v>
      </c>
      <c r="D102" t="s">
        <v>14</v>
      </c>
      <c r="E102" t="s">
        <v>29</v>
      </c>
      <c r="F102">
        <v>0</v>
      </c>
      <c r="G102">
        <v>1</v>
      </c>
      <c r="H102" t="s">
        <v>74</v>
      </c>
      <c r="I102" t="s">
        <v>106</v>
      </c>
      <c r="J102" t="s">
        <v>21</v>
      </c>
      <c r="K102" t="b">
        <v>1</v>
      </c>
      <c r="L102">
        <v>1982</v>
      </c>
      <c r="M102">
        <v>19710229067.2864</v>
      </c>
      <c r="N102">
        <v>70996111962.571594</v>
      </c>
      <c r="O102">
        <v>1</v>
      </c>
    </row>
    <row r="103" spans="1:15" x14ac:dyDescent="0.3">
      <c r="A103" s="1">
        <v>320</v>
      </c>
      <c r="B103" s="2">
        <v>30120</v>
      </c>
      <c r="C103" s="2">
        <f>_xlfn.FLOOR.MATH([1]!Table1[[#This Row],[year]],10)</f>
        <v>1980</v>
      </c>
      <c r="D103" t="s">
        <v>19</v>
      </c>
      <c r="E103" t="s">
        <v>30</v>
      </c>
      <c r="F103">
        <v>4</v>
      </c>
      <c r="G103">
        <v>1</v>
      </c>
      <c r="H103" t="s">
        <v>74</v>
      </c>
      <c r="I103" t="s">
        <v>107</v>
      </c>
      <c r="J103" t="s">
        <v>21</v>
      </c>
      <c r="K103" t="b">
        <v>1</v>
      </c>
      <c r="L103">
        <v>1982</v>
      </c>
      <c r="M103">
        <v>84307486836.723999</v>
      </c>
      <c r="N103">
        <v>24141667188.051701</v>
      </c>
      <c r="O103">
        <v>1</v>
      </c>
    </row>
    <row r="104" spans="1:15" x14ac:dyDescent="0.3">
      <c r="A104" s="1">
        <v>322</v>
      </c>
      <c r="B104" s="2">
        <v>30120</v>
      </c>
      <c r="C104" s="2">
        <f>_xlfn.FLOOR.MATH([1]!Table1[[#This Row],[year]],10)</f>
        <v>1980</v>
      </c>
      <c r="D104" t="s">
        <v>18</v>
      </c>
      <c r="E104" t="s">
        <v>31</v>
      </c>
      <c r="F104">
        <v>1</v>
      </c>
      <c r="G104">
        <v>1</v>
      </c>
      <c r="H104" t="s">
        <v>74</v>
      </c>
      <c r="I104" t="s">
        <v>108</v>
      </c>
      <c r="J104" t="s">
        <v>21</v>
      </c>
      <c r="K104" t="b">
        <v>1</v>
      </c>
      <c r="L104">
        <v>1982</v>
      </c>
      <c r="M104">
        <v>428257421617.75201</v>
      </c>
      <c r="N104">
        <v>21794535621.216</v>
      </c>
      <c r="O104">
        <v>0</v>
      </c>
    </row>
    <row r="105" spans="1:15" x14ac:dyDescent="0.3">
      <c r="A105" s="1">
        <v>323</v>
      </c>
      <c r="B105" s="2">
        <v>30121</v>
      </c>
      <c r="C105" s="2">
        <f>_xlfn.FLOOR.MATH([1]!Table1[[#This Row],[year]],10)</f>
        <v>1980</v>
      </c>
      <c r="D105" t="s">
        <v>23</v>
      </c>
      <c r="E105" t="s">
        <v>69</v>
      </c>
      <c r="F105">
        <v>1</v>
      </c>
      <c r="G105">
        <v>0</v>
      </c>
      <c r="H105" t="s">
        <v>74</v>
      </c>
      <c r="I105" t="s">
        <v>102</v>
      </c>
      <c r="J105" t="s">
        <v>21</v>
      </c>
      <c r="K105" t="b">
        <v>1</v>
      </c>
      <c r="L105">
        <v>1982</v>
      </c>
      <c r="M105">
        <v>92095926187.533096</v>
      </c>
      <c r="N105">
        <v>3399189100</v>
      </c>
      <c r="O105">
        <v>1</v>
      </c>
    </row>
    <row r="106" spans="1:15" x14ac:dyDescent="0.3">
      <c r="A106" s="1">
        <v>327</v>
      </c>
      <c r="B106" s="2">
        <v>30122</v>
      </c>
      <c r="C106" s="2">
        <f>_xlfn.FLOOR.MATH([1]!Table1[[#This Row],[year]],10)</f>
        <v>1980</v>
      </c>
      <c r="D106" t="s">
        <v>16</v>
      </c>
      <c r="E106" t="s">
        <v>14</v>
      </c>
      <c r="F106">
        <v>4</v>
      </c>
      <c r="G106">
        <v>1</v>
      </c>
      <c r="H106" t="s">
        <v>74</v>
      </c>
      <c r="I106" t="s">
        <v>104</v>
      </c>
      <c r="J106" t="s">
        <v>21</v>
      </c>
      <c r="K106" t="b">
        <v>1</v>
      </c>
      <c r="L106">
        <v>1982</v>
      </c>
      <c r="M106">
        <v>779421633755.13794</v>
      </c>
      <c r="N106">
        <v>19710229067.2864</v>
      </c>
      <c r="O106">
        <v>1</v>
      </c>
    </row>
    <row r="107" spans="1:15" x14ac:dyDescent="0.3">
      <c r="A107" s="1">
        <v>329</v>
      </c>
      <c r="B107" s="2">
        <v>30123</v>
      </c>
      <c r="C107" s="2">
        <f>_xlfn.FLOOR.MATH([1]!Table1[[#This Row],[year]],10)</f>
        <v>1980</v>
      </c>
      <c r="D107" t="s">
        <v>32</v>
      </c>
      <c r="E107" t="s">
        <v>29</v>
      </c>
      <c r="F107">
        <v>0</v>
      </c>
      <c r="G107">
        <v>2</v>
      </c>
      <c r="H107" t="s">
        <v>74</v>
      </c>
      <c r="I107" t="s">
        <v>106</v>
      </c>
      <c r="J107" t="s">
        <v>21</v>
      </c>
      <c r="K107" t="b">
        <v>1</v>
      </c>
      <c r="L107">
        <v>1982</v>
      </c>
      <c r="M107">
        <v>45207167470.349701</v>
      </c>
      <c r="N107">
        <v>70996111962.571594</v>
      </c>
      <c r="O107">
        <v>1</v>
      </c>
    </row>
    <row r="108" spans="1:15" x14ac:dyDescent="0.3">
      <c r="A108" s="1">
        <v>330</v>
      </c>
      <c r="B108" s="2">
        <v>30123</v>
      </c>
      <c r="C108" s="2">
        <f>_xlfn.FLOOR.MATH([1]!Table1[[#This Row],[year]],10)</f>
        <v>1980</v>
      </c>
      <c r="D108" t="s">
        <v>20</v>
      </c>
      <c r="E108" t="s">
        <v>71</v>
      </c>
      <c r="F108">
        <v>4</v>
      </c>
      <c r="G108">
        <v>1</v>
      </c>
      <c r="H108" t="s">
        <v>74</v>
      </c>
      <c r="I108" t="s">
        <v>109</v>
      </c>
      <c r="J108" t="s">
        <v>21</v>
      </c>
      <c r="K108" t="b">
        <v>1</v>
      </c>
      <c r="L108">
        <v>1982</v>
      </c>
      <c r="M108">
        <v>578152310609.84094</v>
      </c>
      <c r="N108">
        <v>21577153356.419201</v>
      </c>
      <c r="O108">
        <v>1</v>
      </c>
    </row>
    <row r="109" spans="1:15" x14ac:dyDescent="0.3">
      <c r="A109" s="1">
        <v>332</v>
      </c>
      <c r="B109" s="2">
        <v>30124</v>
      </c>
      <c r="C109" s="2">
        <f>_xlfn.FLOOR.MATH([1]!Table1[[#This Row],[year]],10)</f>
        <v>1980</v>
      </c>
      <c r="D109" t="s">
        <v>23</v>
      </c>
      <c r="E109" t="s">
        <v>30</v>
      </c>
      <c r="F109">
        <v>1</v>
      </c>
      <c r="G109">
        <v>1</v>
      </c>
      <c r="H109" t="s">
        <v>74</v>
      </c>
      <c r="I109" t="s">
        <v>102</v>
      </c>
      <c r="J109" t="s">
        <v>21</v>
      </c>
      <c r="K109" t="b">
        <v>1</v>
      </c>
      <c r="L109">
        <v>1982</v>
      </c>
      <c r="M109">
        <v>92095926187.533096</v>
      </c>
      <c r="N109">
        <v>24141667188.051701</v>
      </c>
      <c r="O109">
        <v>0</v>
      </c>
    </row>
    <row r="110" spans="1:15" x14ac:dyDescent="0.3">
      <c r="A110" s="1">
        <v>335</v>
      </c>
      <c r="B110" s="2">
        <v>30125</v>
      </c>
      <c r="C110" s="2">
        <f>_xlfn.FLOOR.MATH([1]!Table1[[#This Row],[year]],10)</f>
        <v>1980</v>
      </c>
      <c r="D110" t="s">
        <v>19</v>
      </c>
      <c r="E110" t="s">
        <v>69</v>
      </c>
      <c r="F110">
        <v>2</v>
      </c>
      <c r="G110">
        <v>0</v>
      </c>
      <c r="H110" t="s">
        <v>74</v>
      </c>
      <c r="I110" t="s">
        <v>107</v>
      </c>
      <c r="J110" t="s">
        <v>21</v>
      </c>
      <c r="K110" t="b">
        <v>1</v>
      </c>
      <c r="L110">
        <v>1982</v>
      </c>
      <c r="M110">
        <v>84307486836.723999</v>
      </c>
      <c r="N110">
        <v>3399189100</v>
      </c>
      <c r="O110">
        <v>1</v>
      </c>
    </row>
    <row r="111" spans="1:15" x14ac:dyDescent="0.3">
      <c r="A111" s="1">
        <v>336</v>
      </c>
      <c r="B111" s="2">
        <v>30125</v>
      </c>
      <c r="C111" s="2">
        <f>_xlfn.FLOOR.MATH([1]!Table1[[#This Row],[year]],10)</f>
        <v>1980</v>
      </c>
      <c r="D111" t="s">
        <v>13</v>
      </c>
      <c r="E111" t="s">
        <v>72</v>
      </c>
      <c r="F111">
        <v>4</v>
      </c>
      <c r="G111">
        <v>0</v>
      </c>
      <c r="H111" t="s">
        <v>74</v>
      </c>
      <c r="I111" t="s">
        <v>110</v>
      </c>
      <c r="J111" t="s">
        <v>21</v>
      </c>
      <c r="K111" t="b">
        <v>1</v>
      </c>
      <c r="L111">
        <v>1982</v>
      </c>
      <c r="M111">
        <v>271314113768.41699</v>
      </c>
      <c r="N111">
        <v>24164603058.9949</v>
      </c>
      <c r="O111">
        <v>1</v>
      </c>
    </row>
    <row r="112" spans="1:15" x14ac:dyDescent="0.3">
      <c r="A112" s="1">
        <v>337</v>
      </c>
      <c r="B112" s="2">
        <v>30125</v>
      </c>
      <c r="C112" s="2">
        <f>_xlfn.FLOOR.MATH([1]!Table1[[#This Row],[year]],10)</f>
        <v>1980</v>
      </c>
      <c r="D112" t="s">
        <v>18</v>
      </c>
      <c r="E112" t="s">
        <v>40</v>
      </c>
      <c r="F112">
        <v>1</v>
      </c>
      <c r="G112">
        <v>1</v>
      </c>
      <c r="H112" t="s">
        <v>74</v>
      </c>
      <c r="I112" t="s">
        <v>108</v>
      </c>
      <c r="J112" t="s">
        <v>21</v>
      </c>
      <c r="K112" t="b">
        <v>1</v>
      </c>
      <c r="L112">
        <v>1982</v>
      </c>
      <c r="M112">
        <v>428257421617.75201</v>
      </c>
      <c r="N112">
        <v>6611255963.8358402</v>
      </c>
      <c r="O112">
        <v>0</v>
      </c>
    </row>
    <row r="113" spans="1:15" x14ac:dyDescent="0.3">
      <c r="A113" s="1">
        <v>338</v>
      </c>
      <c r="B113" s="2">
        <v>30126</v>
      </c>
      <c r="C113" s="2">
        <f>_xlfn.FLOOR.MATH([1]!Table1[[#This Row],[year]],10)</f>
        <v>1980</v>
      </c>
      <c r="D113" t="s">
        <v>32</v>
      </c>
      <c r="E113" t="s">
        <v>14</v>
      </c>
      <c r="F113">
        <v>3</v>
      </c>
      <c r="G113">
        <v>2</v>
      </c>
      <c r="H113" t="s">
        <v>74</v>
      </c>
      <c r="I113" t="s">
        <v>106</v>
      </c>
      <c r="J113" t="s">
        <v>21</v>
      </c>
      <c r="K113" t="b">
        <v>1</v>
      </c>
      <c r="L113">
        <v>1982</v>
      </c>
      <c r="M113">
        <v>45207167470.349701</v>
      </c>
      <c r="N113">
        <v>19710229067.2864</v>
      </c>
      <c r="O113">
        <v>1</v>
      </c>
    </row>
    <row r="114" spans="1:15" x14ac:dyDescent="0.3">
      <c r="A114" s="1">
        <v>341</v>
      </c>
      <c r="B114" s="2">
        <v>30127</v>
      </c>
      <c r="C114" s="2">
        <f>_xlfn.FLOOR.MATH([1]!Table1[[#This Row],[year]],10)</f>
        <v>1980</v>
      </c>
      <c r="D114" t="s">
        <v>207</v>
      </c>
      <c r="E114" t="s">
        <v>71</v>
      </c>
      <c r="F114">
        <v>1</v>
      </c>
      <c r="G114">
        <v>0</v>
      </c>
      <c r="H114" t="s">
        <v>74</v>
      </c>
      <c r="I114" t="s">
        <v>226</v>
      </c>
      <c r="J114" t="s">
        <v>21</v>
      </c>
      <c r="K114" t="b">
        <v>1</v>
      </c>
      <c r="L114">
        <v>1982</v>
      </c>
      <c r="M114">
        <v>515048916841.37</v>
      </c>
      <c r="N114">
        <v>21577153356.419201</v>
      </c>
      <c r="O114">
        <v>1</v>
      </c>
    </row>
    <row r="115" spans="1:15" x14ac:dyDescent="0.3">
      <c r="A115" s="1">
        <v>342</v>
      </c>
      <c r="B115" s="2">
        <v>30127</v>
      </c>
      <c r="C115" s="2">
        <f>_xlfn.FLOOR.MATH([1]!Table1[[#This Row],[year]],10)</f>
        <v>1980</v>
      </c>
      <c r="D115" t="s">
        <v>16</v>
      </c>
      <c r="E115" t="s">
        <v>29</v>
      </c>
      <c r="F115">
        <v>1</v>
      </c>
      <c r="G115">
        <v>0</v>
      </c>
      <c r="H115" t="s">
        <v>74</v>
      </c>
      <c r="I115" t="s">
        <v>104</v>
      </c>
      <c r="J115" t="s">
        <v>21</v>
      </c>
      <c r="K115" t="b">
        <v>1</v>
      </c>
      <c r="L115">
        <v>1982</v>
      </c>
      <c r="M115">
        <v>779421633755.13794</v>
      </c>
      <c r="N115">
        <v>70996111962.571594</v>
      </c>
      <c r="O115">
        <v>1</v>
      </c>
    </row>
    <row r="116" spans="1:15" x14ac:dyDescent="0.3">
      <c r="A116" s="1">
        <v>344</v>
      </c>
      <c r="B116" s="2">
        <v>30130</v>
      </c>
      <c r="C116" s="2">
        <f>_xlfn.FLOOR.MATH([1]!Table1[[#This Row],[year]],10)</f>
        <v>1980</v>
      </c>
      <c r="D116" t="s">
        <v>29</v>
      </c>
      <c r="E116" t="s">
        <v>20</v>
      </c>
      <c r="F116">
        <v>0</v>
      </c>
      <c r="G116">
        <v>1</v>
      </c>
      <c r="H116" t="s">
        <v>74</v>
      </c>
      <c r="I116" t="s">
        <v>111</v>
      </c>
      <c r="J116" t="s">
        <v>21</v>
      </c>
      <c r="K116" t="b">
        <v>1</v>
      </c>
      <c r="L116">
        <v>1982</v>
      </c>
      <c r="M116">
        <v>70996111962.571594</v>
      </c>
      <c r="N116">
        <v>578152310609.84094</v>
      </c>
      <c r="O116">
        <v>1</v>
      </c>
    </row>
    <row r="117" spans="1:15" x14ac:dyDescent="0.3">
      <c r="A117" s="1">
        <v>346</v>
      </c>
      <c r="B117" s="2">
        <v>30131</v>
      </c>
      <c r="C117" s="2">
        <f>_xlfn.FLOOR.MATH([1]!Table1[[#This Row],[year]],10)</f>
        <v>1980</v>
      </c>
      <c r="D117" t="s">
        <v>16</v>
      </c>
      <c r="E117" t="s">
        <v>207</v>
      </c>
      <c r="F117">
        <v>0</v>
      </c>
      <c r="G117">
        <v>0</v>
      </c>
      <c r="H117" t="s">
        <v>74</v>
      </c>
      <c r="I117" t="s">
        <v>111</v>
      </c>
      <c r="J117" t="s">
        <v>21</v>
      </c>
      <c r="K117" t="b">
        <v>1</v>
      </c>
      <c r="L117">
        <v>1982</v>
      </c>
      <c r="M117">
        <v>779421633755.13794</v>
      </c>
      <c r="N117">
        <v>515048916841.37</v>
      </c>
      <c r="O117">
        <v>0</v>
      </c>
    </row>
    <row r="118" spans="1:15" x14ac:dyDescent="0.3">
      <c r="A118" s="1">
        <v>347</v>
      </c>
      <c r="B118" s="2">
        <v>30131</v>
      </c>
      <c r="C118" s="2">
        <f>_xlfn.FLOOR.MATH([1]!Table1[[#This Row],[year]],10)</f>
        <v>1980</v>
      </c>
      <c r="D118" t="s">
        <v>18</v>
      </c>
      <c r="E118" t="s">
        <v>19</v>
      </c>
      <c r="F118">
        <v>2</v>
      </c>
      <c r="G118">
        <v>1</v>
      </c>
      <c r="H118" t="s">
        <v>74</v>
      </c>
      <c r="I118" t="s">
        <v>101</v>
      </c>
      <c r="J118" t="s">
        <v>21</v>
      </c>
      <c r="K118" t="b">
        <v>1</v>
      </c>
      <c r="L118">
        <v>1982</v>
      </c>
      <c r="M118">
        <v>428257421617.75201</v>
      </c>
      <c r="N118">
        <v>84307486836.723999</v>
      </c>
      <c r="O118">
        <v>1</v>
      </c>
    </row>
    <row r="119" spans="1:15" x14ac:dyDescent="0.3">
      <c r="A119" s="1">
        <v>350</v>
      </c>
      <c r="B119" s="2">
        <v>30134</v>
      </c>
      <c r="C119" s="2">
        <f>_xlfn.FLOOR.MATH([1]!Table1[[#This Row],[year]],10)</f>
        <v>1980</v>
      </c>
      <c r="D119" t="s">
        <v>19</v>
      </c>
      <c r="E119" t="s">
        <v>13</v>
      </c>
      <c r="F119">
        <v>1</v>
      </c>
      <c r="G119">
        <v>3</v>
      </c>
      <c r="H119" t="s">
        <v>74</v>
      </c>
      <c r="I119" t="s">
        <v>101</v>
      </c>
      <c r="J119" t="s">
        <v>21</v>
      </c>
      <c r="K119" t="b">
        <v>1</v>
      </c>
      <c r="L119">
        <v>1982</v>
      </c>
      <c r="M119">
        <v>84307486836.723999</v>
      </c>
      <c r="N119">
        <v>271314113768.41699</v>
      </c>
      <c r="O119">
        <v>1</v>
      </c>
    </row>
    <row r="120" spans="1:15" x14ac:dyDescent="0.3">
      <c r="A120" s="1">
        <v>351</v>
      </c>
      <c r="B120" s="2">
        <v>30134</v>
      </c>
      <c r="C120" s="2">
        <f>_xlfn.FLOOR.MATH([1]!Table1[[#This Row],[year]],10)</f>
        <v>1980</v>
      </c>
      <c r="D120" t="s">
        <v>21</v>
      </c>
      <c r="E120" t="s">
        <v>16</v>
      </c>
      <c r="F120">
        <v>1</v>
      </c>
      <c r="G120">
        <v>2</v>
      </c>
      <c r="H120" t="s">
        <v>74</v>
      </c>
      <c r="I120" t="s">
        <v>111</v>
      </c>
      <c r="J120" t="s">
        <v>21</v>
      </c>
      <c r="K120" t="b">
        <v>0</v>
      </c>
      <c r="L120">
        <v>1982</v>
      </c>
      <c r="M120">
        <v>195856752991.065</v>
      </c>
      <c r="N120">
        <v>779421633755.13794</v>
      </c>
      <c r="O120">
        <v>1</v>
      </c>
    </row>
    <row r="121" spans="1:15" x14ac:dyDescent="0.3">
      <c r="A121" s="1">
        <v>354</v>
      </c>
      <c r="B121" s="2">
        <v>30137</v>
      </c>
      <c r="C121" s="2">
        <f>_xlfn.FLOOR.MATH([1]!Table1[[#This Row],[year]],10)</f>
        <v>1980</v>
      </c>
      <c r="D121" t="s">
        <v>18</v>
      </c>
      <c r="E121" t="s">
        <v>13</v>
      </c>
      <c r="F121">
        <v>3</v>
      </c>
      <c r="G121">
        <v>2</v>
      </c>
      <c r="H121" t="s">
        <v>74</v>
      </c>
      <c r="I121" t="s">
        <v>101</v>
      </c>
      <c r="J121" t="s">
        <v>21</v>
      </c>
      <c r="K121" t="b">
        <v>1</v>
      </c>
      <c r="L121">
        <v>1982</v>
      </c>
      <c r="M121">
        <v>428257421617.75201</v>
      </c>
      <c r="N121">
        <v>271314113768.41699</v>
      </c>
      <c r="O121">
        <v>1</v>
      </c>
    </row>
    <row r="122" spans="1:15" x14ac:dyDescent="0.3">
      <c r="A122" s="1">
        <v>355</v>
      </c>
      <c r="B122" s="2">
        <v>30137</v>
      </c>
      <c r="C122" s="2">
        <f>_xlfn.FLOOR.MATH([1]!Table1[[#This Row],[year]],10)</f>
        <v>1980</v>
      </c>
      <c r="D122" t="s">
        <v>21</v>
      </c>
      <c r="E122" t="s">
        <v>207</v>
      </c>
      <c r="F122">
        <v>0</v>
      </c>
      <c r="G122">
        <v>0</v>
      </c>
      <c r="H122" t="s">
        <v>74</v>
      </c>
      <c r="I122" t="s">
        <v>111</v>
      </c>
      <c r="J122" t="s">
        <v>21</v>
      </c>
      <c r="K122" t="b">
        <v>0</v>
      </c>
      <c r="L122">
        <v>1982</v>
      </c>
      <c r="M122">
        <v>195856752991.065</v>
      </c>
      <c r="N122">
        <v>515048916841.37</v>
      </c>
      <c r="O122">
        <v>0</v>
      </c>
    </row>
    <row r="123" spans="1:15" x14ac:dyDescent="0.3">
      <c r="A123" s="1">
        <v>356</v>
      </c>
      <c r="B123" s="2">
        <v>30140</v>
      </c>
      <c r="C123" s="2">
        <f>_xlfn.FLOOR.MATH([1]!Table1[[#This Row],[year]],10)</f>
        <v>1980</v>
      </c>
      <c r="D123" t="s">
        <v>16</v>
      </c>
      <c r="E123" t="s">
        <v>20</v>
      </c>
      <c r="F123">
        <v>3</v>
      </c>
      <c r="G123">
        <v>3</v>
      </c>
      <c r="H123" t="s">
        <v>74</v>
      </c>
      <c r="I123" t="s">
        <v>110</v>
      </c>
      <c r="J123" t="s">
        <v>21</v>
      </c>
      <c r="K123" t="b">
        <v>1</v>
      </c>
      <c r="L123">
        <v>1982</v>
      </c>
      <c r="M123">
        <v>779421633755.13794</v>
      </c>
      <c r="N123">
        <v>578152310609.84094</v>
      </c>
      <c r="O123">
        <v>0</v>
      </c>
    </row>
    <row r="124" spans="1:15" x14ac:dyDescent="0.3">
      <c r="A124" s="1">
        <v>359</v>
      </c>
      <c r="B124" s="2">
        <v>30143</v>
      </c>
      <c r="C124" s="2">
        <f>_xlfn.FLOOR.MATH([1]!Table1[[#This Row],[year]],10)</f>
        <v>1980</v>
      </c>
      <c r="D124" t="s">
        <v>18</v>
      </c>
      <c r="E124" t="s">
        <v>16</v>
      </c>
      <c r="F124">
        <v>3</v>
      </c>
      <c r="G124">
        <v>1</v>
      </c>
      <c r="H124" t="s">
        <v>74</v>
      </c>
      <c r="I124" t="s">
        <v>111</v>
      </c>
      <c r="J124" t="s">
        <v>21</v>
      </c>
      <c r="K124" t="b">
        <v>1</v>
      </c>
      <c r="L124">
        <v>1982</v>
      </c>
      <c r="M124">
        <v>428257421617.75201</v>
      </c>
      <c r="N124">
        <v>779421633755.13794</v>
      </c>
      <c r="O124">
        <v>-1</v>
      </c>
    </row>
    <row r="125" spans="1:15" x14ac:dyDescent="0.3">
      <c r="A125" s="1">
        <v>360</v>
      </c>
      <c r="B125" s="2">
        <v>31563</v>
      </c>
      <c r="C125" s="2">
        <f>_xlfn.FLOOR.MATH([1]!Table1[[#This Row],[year]],10)</f>
        <v>1980</v>
      </c>
      <c r="D125" t="s">
        <v>33</v>
      </c>
      <c r="E125" t="s">
        <v>18</v>
      </c>
      <c r="F125">
        <v>1</v>
      </c>
      <c r="G125">
        <v>1</v>
      </c>
      <c r="H125" t="s">
        <v>74</v>
      </c>
      <c r="I125" t="s">
        <v>84</v>
      </c>
      <c r="J125" t="s">
        <v>17</v>
      </c>
      <c r="K125" t="b">
        <v>1</v>
      </c>
      <c r="L125">
        <v>1986</v>
      </c>
      <c r="M125">
        <v>20249294117.647099</v>
      </c>
      <c r="N125">
        <v>641862313287.43994</v>
      </c>
      <c r="O125">
        <v>0</v>
      </c>
    </row>
    <row r="126" spans="1:15" x14ac:dyDescent="0.3">
      <c r="A126" s="1">
        <v>361</v>
      </c>
      <c r="B126" s="2">
        <v>31564</v>
      </c>
      <c r="C126" s="2">
        <f>_xlfn.FLOOR.MATH([1]!Table1[[#This Row],[year]],10)</f>
        <v>1980</v>
      </c>
      <c r="D126" t="s">
        <v>34</v>
      </c>
      <c r="E126" t="s">
        <v>20</v>
      </c>
      <c r="F126">
        <v>0</v>
      </c>
      <c r="G126">
        <v>1</v>
      </c>
      <c r="H126" t="s">
        <v>74</v>
      </c>
      <c r="I126" t="s">
        <v>85</v>
      </c>
      <c r="J126" t="s">
        <v>17</v>
      </c>
      <c r="K126" t="b">
        <v>1</v>
      </c>
      <c r="L126">
        <v>1986</v>
      </c>
      <c r="M126">
        <v>379006836991.724</v>
      </c>
      <c r="N126">
        <v>764946585850.93298</v>
      </c>
      <c r="O126">
        <v>1</v>
      </c>
    </row>
    <row r="127" spans="1:15" x14ac:dyDescent="0.3">
      <c r="A127" s="1">
        <v>362</v>
      </c>
      <c r="B127" s="2">
        <v>31564</v>
      </c>
      <c r="C127" s="2">
        <f>_xlfn.FLOOR.MATH([1]!Table1[[#This Row],[year]],10)</f>
        <v>1980</v>
      </c>
      <c r="D127" t="s">
        <v>21</v>
      </c>
      <c r="E127" t="s">
        <v>13</v>
      </c>
      <c r="F127">
        <v>0</v>
      </c>
      <c r="G127">
        <v>1</v>
      </c>
      <c r="H127" t="s">
        <v>74</v>
      </c>
      <c r="I127" t="s">
        <v>87</v>
      </c>
      <c r="J127" t="s">
        <v>17</v>
      </c>
      <c r="K127" t="b">
        <v>1</v>
      </c>
      <c r="L127">
        <v>1986</v>
      </c>
      <c r="M127">
        <v>251141555185.93301</v>
      </c>
      <c r="N127">
        <v>256480852471.129</v>
      </c>
      <c r="O127">
        <v>1</v>
      </c>
    </row>
    <row r="128" spans="1:15" x14ac:dyDescent="0.3">
      <c r="A128" s="1">
        <v>367</v>
      </c>
      <c r="B128" s="2">
        <v>31566</v>
      </c>
      <c r="C128" s="2">
        <f>_xlfn.FLOOR.MATH([1]!Table1[[#This Row],[year]],10)</f>
        <v>1980</v>
      </c>
      <c r="D128" t="s">
        <v>17</v>
      </c>
      <c r="E128" t="s">
        <v>23</v>
      </c>
      <c r="F128">
        <v>2</v>
      </c>
      <c r="G128">
        <v>1</v>
      </c>
      <c r="H128" t="s">
        <v>74</v>
      </c>
      <c r="I128" t="s">
        <v>84</v>
      </c>
      <c r="J128" t="s">
        <v>17</v>
      </c>
      <c r="K128" t="b">
        <v>0</v>
      </c>
      <c r="L128">
        <v>1986</v>
      </c>
      <c r="M128">
        <v>134556034672.991</v>
      </c>
      <c r="N128">
        <v>120018787249.41299</v>
      </c>
      <c r="O128">
        <v>1</v>
      </c>
    </row>
    <row r="129" spans="1:15" x14ac:dyDescent="0.3">
      <c r="A129" s="1">
        <v>368</v>
      </c>
      <c r="B129" s="2">
        <v>31566</v>
      </c>
      <c r="C129" s="2">
        <f>_xlfn.FLOOR.MATH([1]!Table1[[#This Row],[year]],10)</f>
        <v>1980</v>
      </c>
      <c r="D129" t="s">
        <v>38</v>
      </c>
      <c r="E129" t="s">
        <v>207</v>
      </c>
      <c r="F129">
        <v>1</v>
      </c>
      <c r="G129">
        <v>0</v>
      </c>
      <c r="H129" t="s">
        <v>74</v>
      </c>
      <c r="I129" t="s">
        <v>115</v>
      </c>
      <c r="J129" t="s">
        <v>17</v>
      </c>
      <c r="K129" t="b">
        <v>1</v>
      </c>
      <c r="L129">
        <v>1986</v>
      </c>
      <c r="M129">
        <v>38745901353.705902</v>
      </c>
      <c r="N129">
        <v>601452653180.88501</v>
      </c>
      <c r="O129">
        <v>-1</v>
      </c>
    </row>
    <row r="130" spans="1:15" x14ac:dyDescent="0.3">
      <c r="A130" s="1">
        <v>369</v>
      </c>
      <c r="B130" s="2">
        <v>31567</v>
      </c>
      <c r="C130" s="2">
        <f>_xlfn.FLOOR.MATH([1]!Table1[[#This Row],[year]],10)</f>
        <v>1980</v>
      </c>
      <c r="D130" t="s">
        <v>35</v>
      </c>
      <c r="E130" t="s">
        <v>37</v>
      </c>
      <c r="F130">
        <v>1</v>
      </c>
      <c r="G130">
        <v>0</v>
      </c>
      <c r="H130" t="s">
        <v>74</v>
      </c>
      <c r="I130" t="s">
        <v>86</v>
      </c>
      <c r="J130" t="s">
        <v>17</v>
      </c>
      <c r="K130" t="b">
        <v>1</v>
      </c>
      <c r="L130">
        <v>1986</v>
      </c>
      <c r="M130">
        <v>3723993942.7908802</v>
      </c>
      <c r="N130">
        <v>47264516129.032303</v>
      </c>
      <c r="O130">
        <v>-1</v>
      </c>
    </row>
    <row r="131" spans="1:15" x14ac:dyDescent="0.3">
      <c r="A131" s="1">
        <v>371</v>
      </c>
      <c r="B131" s="2">
        <v>31567</v>
      </c>
      <c r="C131" s="2">
        <f>_xlfn.FLOOR.MATH([1]!Table1[[#This Row],[year]],10)</f>
        <v>1980</v>
      </c>
      <c r="D131" t="s">
        <v>26</v>
      </c>
      <c r="E131" t="s">
        <v>16</v>
      </c>
      <c r="F131">
        <v>1</v>
      </c>
      <c r="G131">
        <v>1</v>
      </c>
      <c r="H131" t="s">
        <v>74</v>
      </c>
      <c r="I131" t="s">
        <v>112</v>
      </c>
      <c r="J131" t="s">
        <v>17</v>
      </c>
      <c r="K131" t="b">
        <v>1</v>
      </c>
      <c r="L131">
        <v>1986</v>
      </c>
      <c r="M131">
        <v>5880112788.4094696</v>
      </c>
      <c r="N131">
        <v>1050092624515.9</v>
      </c>
      <c r="O131">
        <v>0</v>
      </c>
    </row>
    <row r="132" spans="1:15" x14ac:dyDescent="0.3">
      <c r="A132" s="1">
        <v>373</v>
      </c>
      <c r="B132" s="2">
        <v>31568</v>
      </c>
      <c r="C132" s="2">
        <f>_xlfn.FLOOR.MATH([1]!Table1[[#This Row],[year]],10)</f>
        <v>1980</v>
      </c>
      <c r="D132" t="s">
        <v>18</v>
      </c>
      <c r="E132" t="s">
        <v>19</v>
      </c>
      <c r="F132">
        <v>1</v>
      </c>
      <c r="G132">
        <v>1</v>
      </c>
      <c r="H132" t="s">
        <v>74</v>
      </c>
      <c r="I132" t="s">
        <v>83</v>
      </c>
      <c r="J132" t="s">
        <v>17</v>
      </c>
      <c r="K132" t="b">
        <v>1</v>
      </c>
      <c r="L132">
        <v>1986</v>
      </c>
      <c r="M132">
        <v>641862313287.43994</v>
      </c>
      <c r="N132">
        <v>105872372613.85699</v>
      </c>
      <c r="O132">
        <v>0</v>
      </c>
    </row>
    <row r="133" spans="1:15" x14ac:dyDescent="0.3">
      <c r="A133" s="1">
        <v>375</v>
      </c>
      <c r="B133" s="2">
        <v>31569</v>
      </c>
      <c r="C133" s="2">
        <f>_xlfn.FLOOR.MATH([1]!Table1[[#This Row],[year]],10)</f>
        <v>1980</v>
      </c>
      <c r="D133" t="s">
        <v>13</v>
      </c>
      <c r="E133" t="s">
        <v>32</v>
      </c>
      <c r="F133">
        <v>1</v>
      </c>
      <c r="G133">
        <v>0</v>
      </c>
      <c r="H133" t="s">
        <v>74</v>
      </c>
      <c r="I133" t="s">
        <v>87</v>
      </c>
      <c r="J133" t="s">
        <v>17</v>
      </c>
      <c r="K133" t="b">
        <v>1</v>
      </c>
      <c r="L133">
        <v>1986</v>
      </c>
      <c r="M133">
        <v>256480852471.129</v>
      </c>
      <c r="N133">
        <v>63692007897.3834</v>
      </c>
      <c r="O133">
        <v>1</v>
      </c>
    </row>
    <row r="134" spans="1:15" x14ac:dyDescent="0.3">
      <c r="A134" s="1">
        <v>376</v>
      </c>
      <c r="B134" s="2">
        <v>31569</v>
      </c>
      <c r="C134" s="2">
        <f>_xlfn.FLOOR.MATH([1]!Table1[[#This Row],[year]],10)</f>
        <v>1980</v>
      </c>
      <c r="D134" t="s">
        <v>207</v>
      </c>
      <c r="E134" t="s">
        <v>24</v>
      </c>
      <c r="F134">
        <v>0</v>
      </c>
      <c r="G134">
        <v>0</v>
      </c>
      <c r="H134" t="s">
        <v>74</v>
      </c>
      <c r="I134" t="s">
        <v>115</v>
      </c>
      <c r="J134" t="s">
        <v>17</v>
      </c>
      <c r="K134" t="b">
        <v>1</v>
      </c>
      <c r="L134">
        <v>1986</v>
      </c>
      <c r="M134">
        <v>601452653180.88501</v>
      </c>
      <c r="N134">
        <v>19462085540.223099</v>
      </c>
      <c r="O134">
        <v>0</v>
      </c>
    </row>
    <row r="135" spans="1:15" x14ac:dyDescent="0.3">
      <c r="A135" s="1">
        <v>377</v>
      </c>
      <c r="B135" s="2">
        <v>31569</v>
      </c>
      <c r="C135" s="2">
        <f>_xlfn.FLOOR.MATH([1]!Table1[[#This Row],[year]],10)</f>
        <v>1980</v>
      </c>
      <c r="D135" t="s">
        <v>30</v>
      </c>
      <c r="E135" t="s">
        <v>34</v>
      </c>
      <c r="F135">
        <v>2</v>
      </c>
      <c r="G135">
        <v>0</v>
      </c>
      <c r="H135" t="s">
        <v>74</v>
      </c>
      <c r="I135" t="s">
        <v>113</v>
      </c>
      <c r="J135" t="s">
        <v>17</v>
      </c>
      <c r="K135" t="b">
        <v>1</v>
      </c>
      <c r="L135">
        <v>1986</v>
      </c>
      <c r="M135">
        <v>24778163812.0131</v>
      </c>
      <c r="N135">
        <v>379006836991.724</v>
      </c>
      <c r="O135">
        <v>-1</v>
      </c>
    </row>
    <row r="136" spans="1:15" x14ac:dyDescent="0.3">
      <c r="A136" s="1">
        <v>378</v>
      </c>
      <c r="B136" s="2">
        <v>31570</v>
      </c>
      <c r="C136" s="2">
        <f>_xlfn.FLOOR.MATH([1]!Table1[[#This Row],[year]],10)</f>
        <v>1980</v>
      </c>
      <c r="D136" t="s">
        <v>17</v>
      </c>
      <c r="E136" t="s">
        <v>35</v>
      </c>
      <c r="F136">
        <v>1</v>
      </c>
      <c r="G136">
        <v>1</v>
      </c>
      <c r="H136" t="s">
        <v>74</v>
      </c>
      <c r="I136" t="s">
        <v>84</v>
      </c>
      <c r="J136" t="s">
        <v>17</v>
      </c>
      <c r="K136" t="b">
        <v>0</v>
      </c>
      <c r="L136">
        <v>1986</v>
      </c>
      <c r="M136">
        <v>134556034672.991</v>
      </c>
      <c r="N136">
        <v>3723993942.7908802</v>
      </c>
      <c r="O136">
        <v>0</v>
      </c>
    </row>
    <row r="137" spans="1:15" x14ac:dyDescent="0.3">
      <c r="A137" s="1">
        <v>381</v>
      </c>
      <c r="B137" s="2">
        <v>31571</v>
      </c>
      <c r="C137" s="2">
        <f>_xlfn.FLOOR.MATH([1]!Table1[[#This Row],[year]],10)</f>
        <v>1980</v>
      </c>
      <c r="D137" t="s">
        <v>36</v>
      </c>
      <c r="E137" t="s">
        <v>26</v>
      </c>
      <c r="F137">
        <v>6</v>
      </c>
      <c r="G137">
        <v>1</v>
      </c>
      <c r="H137" t="s">
        <v>74</v>
      </c>
      <c r="I137" t="s">
        <v>114</v>
      </c>
      <c r="J137" t="s">
        <v>17</v>
      </c>
      <c r="K137" t="b">
        <v>1</v>
      </c>
      <c r="L137">
        <v>1986</v>
      </c>
      <c r="M137">
        <v>87748695216.9077</v>
      </c>
      <c r="N137">
        <v>5880112788.4094696</v>
      </c>
      <c r="O137">
        <v>1</v>
      </c>
    </row>
    <row r="138" spans="1:15" x14ac:dyDescent="0.3">
      <c r="A138" s="1">
        <v>383</v>
      </c>
      <c r="B138" s="2">
        <v>31571</v>
      </c>
      <c r="C138" s="2">
        <f>_xlfn.FLOOR.MATH([1]!Table1[[#This Row],[year]],10)</f>
        <v>1980</v>
      </c>
      <c r="D138" t="s">
        <v>37</v>
      </c>
      <c r="E138" t="s">
        <v>23</v>
      </c>
      <c r="F138">
        <v>1</v>
      </c>
      <c r="G138">
        <v>2</v>
      </c>
      <c r="H138" t="s">
        <v>74</v>
      </c>
      <c r="I138" t="s">
        <v>86</v>
      </c>
      <c r="J138" t="s">
        <v>17</v>
      </c>
      <c r="K138" t="b">
        <v>1</v>
      </c>
      <c r="L138">
        <v>1986</v>
      </c>
      <c r="M138">
        <v>47264516129.032303</v>
      </c>
      <c r="N138">
        <v>120018787249.41299</v>
      </c>
      <c r="O138">
        <v>1</v>
      </c>
    </row>
    <row r="139" spans="1:15" x14ac:dyDescent="0.3">
      <c r="A139" s="1">
        <v>384</v>
      </c>
      <c r="B139" s="2">
        <v>31572</v>
      </c>
      <c r="C139" s="2">
        <f>_xlfn.FLOOR.MATH([1]!Table1[[#This Row],[year]],10)</f>
        <v>1980</v>
      </c>
      <c r="D139" t="s">
        <v>30</v>
      </c>
      <c r="E139" t="s">
        <v>20</v>
      </c>
      <c r="F139">
        <v>0</v>
      </c>
      <c r="G139">
        <v>3</v>
      </c>
      <c r="H139" t="s">
        <v>74</v>
      </c>
      <c r="I139" t="s">
        <v>85</v>
      </c>
      <c r="J139" t="s">
        <v>17</v>
      </c>
      <c r="K139" t="b">
        <v>1</v>
      </c>
      <c r="L139">
        <v>1986</v>
      </c>
      <c r="M139">
        <v>24778163812.0131</v>
      </c>
      <c r="N139">
        <v>764946585850.93298</v>
      </c>
      <c r="O139">
        <v>1</v>
      </c>
    </row>
    <row r="140" spans="1:15" x14ac:dyDescent="0.3">
      <c r="A140" s="1">
        <v>386</v>
      </c>
      <c r="B140" s="2">
        <v>31573</v>
      </c>
      <c r="C140" s="2">
        <f>_xlfn.FLOOR.MATH([1]!Table1[[#This Row],[year]],10)</f>
        <v>1980</v>
      </c>
      <c r="D140" t="s">
        <v>19</v>
      </c>
      <c r="E140" t="s">
        <v>33</v>
      </c>
      <c r="F140">
        <v>2</v>
      </c>
      <c r="G140">
        <v>0</v>
      </c>
      <c r="H140" t="s">
        <v>74</v>
      </c>
      <c r="I140" t="s">
        <v>84</v>
      </c>
      <c r="J140" t="s">
        <v>17</v>
      </c>
      <c r="K140" t="b">
        <v>1</v>
      </c>
      <c r="L140">
        <v>1986</v>
      </c>
      <c r="M140">
        <v>105872372613.85699</v>
      </c>
      <c r="N140">
        <v>20249294117.647099</v>
      </c>
      <c r="O140">
        <v>1</v>
      </c>
    </row>
    <row r="141" spans="1:15" x14ac:dyDescent="0.3">
      <c r="A141" s="1">
        <v>389</v>
      </c>
      <c r="B141" s="2">
        <v>31574</v>
      </c>
      <c r="C141" s="2">
        <f>_xlfn.FLOOR.MATH([1]!Table1[[#This Row],[year]],10)</f>
        <v>1980</v>
      </c>
      <c r="D141" t="s">
        <v>17</v>
      </c>
      <c r="E141" t="s">
        <v>37</v>
      </c>
      <c r="F141">
        <v>1</v>
      </c>
      <c r="G141">
        <v>0</v>
      </c>
      <c r="H141" t="s">
        <v>74</v>
      </c>
      <c r="I141" t="s">
        <v>84</v>
      </c>
      <c r="J141" t="s">
        <v>17</v>
      </c>
      <c r="K141" t="b">
        <v>0</v>
      </c>
      <c r="L141">
        <v>1986</v>
      </c>
      <c r="M141">
        <v>134556034672.991</v>
      </c>
      <c r="N141">
        <v>47264516129.032303</v>
      </c>
      <c r="O141">
        <v>1</v>
      </c>
    </row>
    <row r="142" spans="1:15" x14ac:dyDescent="0.3">
      <c r="A142" s="1">
        <v>390</v>
      </c>
      <c r="B142" s="2">
        <v>31574</v>
      </c>
      <c r="C142" s="2">
        <f>_xlfn.FLOOR.MATH([1]!Table1[[#This Row],[year]],10)</f>
        <v>1980</v>
      </c>
      <c r="D142" t="s">
        <v>35</v>
      </c>
      <c r="E142" t="s">
        <v>23</v>
      </c>
      <c r="F142">
        <v>2</v>
      </c>
      <c r="G142">
        <v>2</v>
      </c>
      <c r="H142" t="s">
        <v>74</v>
      </c>
      <c r="I142" t="s">
        <v>86</v>
      </c>
      <c r="J142" t="s">
        <v>17</v>
      </c>
      <c r="K142" t="b">
        <v>1</v>
      </c>
      <c r="L142">
        <v>1986</v>
      </c>
      <c r="M142">
        <v>3723993942.7908802</v>
      </c>
      <c r="N142">
        <v>120018787249.41299</v>
      </c>
      <c r="O142">
        <v>0</v>
      </c>
    </row>
    <row r="143" spans="1:15" x14ac:dyDescent="0.3">
      <c r="A143" s="1">
        <v>391</v>
      </c>
      <c r="B143" s="2">
        <v>31574</v>
      </c>
      <c r="C143" s="2">
        <f>_xlfn.FLOOR.MATH([1]!Table1[[#This Row],[year]],10)</f>
        <v>1980</v>
      </c>
      <c r="D143" t="s">
        <v>38</v>
      </c>
      <c r="E143" t="s">
        <v>24</v>
      </c>
      <c r="F143">
        <v>1</v>
      </c>
      <c r="G143">
        <v>3</v>
      </c>
      <c r="H143" t="s">
        <v>74</v>
      </c>
      <c r="I143" t="s">
        <v>87</v>
      </c>
      <c r="J143" t="s">
        <v>17</v>
      </c>
      <c r="K143" t="b">
        <v>1</v>
      </c>
      <c r="L143">
        <v>1986</v>
      </c>
      <c r="M143">
        <v>38745901353.705902</v>
      </c>
      <c r="N143">
        <v>19462085540.223099</v>
      </c>
      <c r="O143">
        <v>-1</v>
      </c>
    </row>
    <row r="144" spans="1:15" x14ac:dyDescent="0.3">
      <c r="A144" s="1">
        <v>392</v>
      </c>
      <c r="B144" s="2">
        <v>31575</v>
      </c>
      <c r="C144" s="2">
        <f>_xlfn.FLOOR.MATH([1]!Table1[[#This Row],[year]],10)</f>
        <v>1980</v>
      </c>
      <c r="D144" t="s">
        <v>32</v>
      </c>
      <c r="E144" t="s">
        <v>21</v>
      </c>
      <c r="F144">
        <v>0</v>
      </c>
      <c r="G144">
        <v>3</v>
      </c>
      <c r="H144" t="s">
        <v>74</v>
      </c>
      <c r="I144" t="s">
        <v>115</v>
      </c>
      <c r="J144" t="s">
        <v>17</v>
      </c>
      <c r="K144" t="b">
        <v>1</v>
      </c>
      <c r="L144">
        <v>1986</v>
      </c>
      <c r="M144">
        <v>63692007897.3834</v>
      </c>
      <c r="N144">
        <v>251141555185.93301</v>
      </c>
      <c r="O144">
        <v>1</v>
      </c>
    </row>
    <row r="145" spans="1:15" x14ac:dyDescent="0.3">
      <c r="A145" s="1">
        <v>394</v>
      </c>
      <c r="B145" s="2">
        <v>31576</v>
      </c>
      <c r="C145" s="2">
        <f>_xlfn.FLOOR.MATH([1]!Table1[[#This Row],[year]],10)</f>
        <v>1980</v>
      </c>
      <c r="D145" t="s">
        <v>36</v>
      </c>
      <c r="E145" t="s">
        <v>16</v>
      </c>
      <c r="F145">
        <v>2</v>
      </c>
      <c r="G145">
        <v>0</v>
      </c>
      <c r="H145" t="s">
        <v>74</v>
      </c>
      <c r="I145" t="s">
        <v>112</v>
      </c>
      <c r="J145" t="s">
        <v>17</v>
      </c>
      <c r="K145" t="b">
        <v>1</v>
      </c>
      <c r="L145">
        <v>1986</v>
      </c>
      <c r="M145">
        <v>87748695216.9077</v>
      </c>
      <c r="N145">
        <v>1050092624515.9</v>
      </c>
      <c r="O145">
        <v>-1</v>
      </c>
    </row>
    <row r="146" spans="1:15" x14ac:dyDescent="0.3">
      <c r="A146" s="1">
        <v>396</v>
      </c>
      <c r="B146" s="2">
        <v>31578</v>
      </c>
      <c r="C146" s="2">
        <f>_xlfn.FLOOR.MATH([1]!Table1[[#This Row],[year]],10)</f>
        <v>1980</v>
      </c>
      <c r="D146" t="s">
        <v>17</v>
      </c>
      <c r="E146" t="s">
        <v>33</v>
      </c>
      <c r="F146">
        <v>2</v>
      </c>
      <c r="G146">
        <v>0</v>
      </c>
      <c r="H146" t="s">
        <v>74</v>
      </c>
      <c r="I146" t="s">
        <v>84</v>
      </c>
      <c r="J146" t="s">
        <v>17</v>
      </c>
      <c r="K146" t="b">
        <v>0</v>
      </c>
      <c r="L146">
        <v>1986</v>
      </c>
      <c r="M146">
        <v>134556034672.991</v>
      </c>
      <c r="N146">
        <v>20249294117.647099</v>
      </c>
      <c r="O146">
        <v>1</v>
      </c>
    </row>
    <row r="147" spans="1:15" x14ac:dyDescent="0.3">
      <c r="A147" s="1">
        <v>398</v>
      </c>
      <c r="B147" s="2">
        <v>31579</v>
      </c>
      <c r="C147" s="2">
        <f>_xlfn.FLOOR.MATH([1]!Table1[[#This Row],[year]],10)</f>
        <v>1980</v>
      </c>
      <c r="D147" t="s">
        <v>19</v>
      </c>
      <c r="E147" t="s">
        <v>26</v>
      </c>
      <c r="F147">
        <v>1</v>
      </c>
      <c r="G147">
        <v>0</v>
      </c>
      <c r="H147" t="s">
        <v>74</v>
      </c>
      <c r="I147" t="s">
        <v>83</v>
      </c>
      <c r="J147" t="s">
        <v>17</v>
      </c>
      <c r="K147" t="b">
        <v>1</v>
      </c>
      <c r="L147">
        <v>1986</v>
      </c>
      <c r="M147">
        <v>105872372613.85699</v>
      </c>
      <c r="N147">
        <v>5880112788.4094696</v>
      </c>
      <c r="O147">
        <v>1</v>
      </c>
    </row>
    <row r="148" spans="1:15" x14ac:dyDescent="0.3">
      <c r="A148" s="1">
        <v>400</v>
      </c>
      <c r="B148" s="2">
        <v>31580</v>
      </c>
      <c r="C148" s="2">
        <f>_xlfn.FLOOR.MATH([1]!Table1[[#This Row],[year]],10)</f>
        <v>1980</v>
      </c>
      <c r="D148" t="s">
        <v>18</v>
      </c>
      <c r="E148" t="s">
        <v>20</v>
      </c>
      <c r="F148">
        <v>0</v>
      </c>
      <c r="G148">
        <v>2</v>
      </c>
      <c r="H148" t="s">
        <v>74</v>
      </c>
      <c r="I148" t="s">
        <v>84</v>
      </c>
      <c r="J148" t="s">
        <v>17</v>
      </c>
      <c r="K148" t="b">
        <v>1</v>
      </c>
      <c r="L148">
        <v>1986</v>
      </c>
      <c r="M148">
        <v>641862313287.43994</v>
      </c>
      <c r="N148">
        <v>764946585850.93298</v>
      </c>
      <c r="O148">
        <v>1</v>
      </c>
    </row>
    <row r="149" spans="1:15" x14ac:dyDescent="0.3">
      <c r="A149" s="1">
        <v>401</v>
      </c>
      <c r="B149" s="2">
        <v>31580</v>
      </c>
      <c r="C149" s="2">
        <f>_xlfn.FLOOR.MATH([1]!Table1[[#This Row],[year]],10)</f>
        <v>1980</v>
      </c>
      <c r="D149" t="s">
        <v>24</v>
      </c>
      <c r="E149" t="s">
        <v>16</v>
      </c>
      <c r="F149">
        <v>0</v>
      </c>
      <c r="G149">
        <v>1</v>
      </c>
      <c r="H149" t="s">
        <v>74</v>
      </c>
      <c r="I149" t="s">
        <v>115</v>
      </c>
      <c r="J149" t="s">
        <v>17</v>
      </c>
      <c r="K149" t="b">
        <v>1</v>
      </c>
      <c r="L149">
        <v>1986</v>
      </c>
      <c r="M149">
        <v>19462085540.223099</v>
      </c>
      <c r="N149">
        <v>1050092624515.9</v>
      </c>
      <c r="O149">
        <v>1</v>
      </c>
    </row>
    <row r="150" spans="1:15" x14ac:dyDescent="0.3">
      <c r="A150" s="1">
        <v>402</v>
      </c>
      <c r="B150" s="2">
        <v>31581</v>
      </c>
      <c r="C150" s="2">
        <f>_xlfn.FLOOR.MATH([1]!Table1[[#This Row],[year]],10)</f>
        <v>1980</v>
      </c>
      <c r="D150" t="s">
        <v>36</v>
      </c>
      <c r="E150" t="s">
        <v>21</v>
      </c>
      <c r="F150">
        <v>1</v>
      </c>
      <c r="G150">
        <v>5</v>
      </c>
      <c r="H150" t="s">
        <v>74</v>
      </c>
      <c r="I150" t="s">
        <v>112</v>
      </c>
      <c r="J150" t="s">
        <v>17</v>
      </c>
      <c r="K150" t="b">
        <v>1</v>
      </c>
      <c r="L150">
        <v>1986</v>
      </c>
      <c r="M150">
        <v>87748695216.9077</v>
      </c>
      <c r="N150">
        <v>251141555185.93301</v>
      </c>
      <c r="O150">
        <v>1</v>
      </c>
    </row>
    <row r="151" spans="1:15" x14ac:dyDescent="0.3">
      <c r="A151" s="1">
        <v>403</v>
      </c>
      <c r="B151" s="2">
        <v>31581</v>
      </c>
      <c r="C151" s="2">
        <f>_xlfn.FLOOR.MATH([1]!Table1[[#This Row],[year]],10)</f>
        <v>1980</v>
      </c>
      <c r="D151" t="s">
        <v>207</v>
      </c>
      <c r="E151" t="s">
        <v>35</v>
      </c>
      <c r="F151">
        <v>3</v>
      </c>
      <c r="G151">
        <v>0</v>
      </c>
      <c r="H151" t="s">
        <v>74</v>
      </c>
      <c r="I151" t="s">
        <v>84</v>
      </c>
      <c r="J151" t="s">
        <v>17</v>
      </c>
      <c r="K151" t="b">
        <v>1</v>
      </c>
      <c r="L151">
        <v>1986</v>
      </c>
      <c r="M151">
        <v>601452653180.88501</v>
      </c>
      <c r="N151">
        <v>3723993942.7908802</v>
      </c>
      <c r="O151">
        <v>1</v>
      </c>
    </row>
    <row r="152" spans="1:15" x14ac:dyDescent="0.3">
      <c r="A152" s="1">
        <v>404</v>
      </c>
      <c r="B152" s="2">
        <v>31584</v>
      </c>
      <c r="C152" s="2">
        <f>_xlfn.FLOOR.MATH([1]!Table1[[#This Row],[year]],10)</f>
        <v>1980</v>
      </c>
      <c r="D152" t="s">
        <v>13</v>
      </c>
      <c r="E152" t="s">
        <v>20</v>
      </c>
      <c r="F152">
        <v>1</v>
      </c>
      <c r="G152">
        <v>1</v>
      </c>
      <c r="H152" t="s">
        <v>74</v>
      </c>
      <c r="I152" t="s">
        <v>87</v>
      </c>
      <c r="J152" t="s">
        <v>17</v>
      </c>
      <c r="K152" t="b">
        <v>1</v>
      </c>
      <c r="L152">
        <v>1986</v>
      </c>
      <c r="M152">
        <v>256480852471.129</v>
      </c>
      <c r="N152">
        <v>764946585850.93298</v>
      </c>
      <c r="O152">
        <v>0</v>
      </c>
    </row>
    <row r="153" spans="1:15" x14ac:dyDescent="0.3">
      <c r="A153" s="1">
        <v>405</v>
      </c>
      <c r="B153" s="2">
        <v>31584</v>
      </c>
      <c r="C153" s="2">
        <f>_xlfn.FLOOR.MATH([1]!Table1[[#This Row],[year]],10)</f>
        <v>1980</v>
      </c>
      <c r="D153" t="s">
        <v>17</v>
      </c>
      <c r="E153" t="s">
        <v>16</v>
      </c>
      <c r="F153">
        <v>0</v>
      </c>
      <c r="G153">
        <v>0</v>
      </c>
      <c r="H153" t="s">
        <v>74</v>
      </c>
      <c r="I153" t="s">
        <v>115</v>
      </c>
      <c r="J153" t="s">
        <v>17</v>
      </c>
      <c r="K153" t="b">
        <v>0</v>
      </c>
      <c r="L153">
        <v>1986</v>
      </c>
      <c r="M153">
        <v>134556034672.991</v>
      </c>
      <c r="N153">
        <v>1050092624515.9</v>
      </c>
      <c r="O153">
        <v>0</v>
      </c>
    </row>
    <row r="154" spans="1:15" x14ac:dyDescent="0.3">
      <c r="A154" s="1">
        <v>406</v>
      </c>
      <c r="B154" s="2">
        <v>31585</v>
      </c>
      <c r="C154" s="2">
        <f>_xlfn.FLOOR.MATH([1]!Table1[[#This Row],[year]],10)</f>
        <v>1980</v>
      </c>
      <c r="D154" t="s">
        <v>19</v>
      </c>
      <c r="E154" t="s">
        <v>207</v>
      </c>
      <c r="F154">
        <v>2</v>
      </c>
      <c r="G154">
        <v>1</v>
      </c>
      <c r="H154" t="s">
        <v>74</v>
      </c>
      <c r="I154" t="s">
        <v>84</v>
      </c>
      <c r="J154" t="s">
        <v>17</v>
      </c>
      <c r="K154" t="b">
        <v>1</v>
      </c>
      <c r="L154">
        <v>1986</v>
      </c>
      <c r="M154">
        <v>105872372613.85699</v>
      </c>
      <c r="N154">
        <v>601452653180.88501</v>
      </c>
      <c r="O154">
        <v>-1</v>
      </c>
    </row>
    <row r="155" spans="1:15" x14ac:dyDescent="0.3">
      <c r="A155" s="1">
        <v>407</v>
      </c>
      <c r="B155" s="2">
        <v>31585</v>
      </c>
      <c r="C155" s="2">
        <f>_xlfn.FLOOR.MATH([1]!Table1[[#This Row],[year]],10)</f>
        <v>1980</v>
      </c>
      <c r="D155" t="s">
        <v>21</v>
      </c>
      <c r="E155" t="s">
        <v>23</v>
      </c>
      <c r="F155">
        <v>1</v>
      </c>
      <c r="G155">
        <v>1</v>
      </c>
      <c r="H155" t="s">
        <v>74</v>
      </c>
      <c r="I155" t="s">
        <v>83</v>
      </c>
      <c r="J155" t="s">
        <v>17</v>
      </c>
      <c r="K155" t="b">
        <v>1</v>
      </c>
      <c r="L155">
        <v>1986</v>
      </c>
      <c r="M155">
        <v>251141555185.93301</v>
      </c>
      <c r="N155">
        <v>120018787249.41299</v>
      </c>
      <c r="O155">
        <v>0</v>
      </c>
    </row>
    <row r="156" spans="1:15" x14ac:dyDescent="0.3">
      <c r="A156" s="1">
        <v>408</v>
      </c>
      <c r="B156" s="2">
        <v>31588</v>
      </c>
      <c r="C156" s="2">
        <f>_xlfn.FLOOR.MATH([1]!Table1[[#This Row],[year]],10)</f>
        <v>1980</v>
      </c>
      <c r="D156" t="s">
        <v>19</v>
      </c>
      <c r="E156" t="s">
        <v>23</v>
      </c>
      <c r="F156">
        <v>2</v>
      </c>
      <c r="G156">
        <v>0</v>
      </c>
      <c r="H156" t="s">
        <v>74</v>
      </c>
      <c r="I156" t="s">
        <v>84</v>
      </c>
      <c r="J156" t="s">
        <v>17</v>
      </c>
      <c r="K156" t="b">
        <v>1</v>
      </c>
      <c r="L156">
        <v>1986</v>
      </c>
      <c r="M156">
        <v>105872372613.85699</v>
      </c>
      <c r="N156">
        <v>120018787249.41299</v>
      </c>
      <c r="O156">
        <v>-1</v>
      </c>
    </row>
    <row r="157" spans="1:15" x14ac:dyDescent="0.3">
      <c r="A157" s="1">
        <v>409</v>
      </c>
      <c r="B157" s="2">
        <v>31588</v>
      </c>
      <c r="C157" s="2">
        <f>_xlfn.FLOOR.MATH([1]!Table1[[#This Row],[year]],10)</f>
        <v>1980</v>
      </c>
      <c r="D157" t="s">
        <v>20</v>
      </c>
      <c r="E157" t="s">
        <v>16</v>
      </c>
      <c r="F157">
        <v>0</v>
      </c>
      <c r="G157">
        <v>2</v>
      </c>
      <c r="H157" t="s">
        <v>74</v>
      </c>
      <c r="I157" t="s">
        <v>87</v>
      </c>
      <c r="J157" t="s">
        <v>17</v>
      </c>
      <c r="K157" t="b">
        <v>1</v>
      </c>
      <c r="L157">
        <v>1986</v>
      </c>
      <c r="M157">
        <v>764946585850.93298</v>
      </c>
      <c r="N157">
        <v>1050092624515.9</v>
      </c>
      <c r="O157">
        <v>1</v>
      </c>
    </row>
    <row r="158" spans="1:15" x14ac:dyDescent="0.3">
      <c r="A158" s="1">
        <v>410</v>
      </c>
      <c r="B158" s="2">
        <v>31591</v>
      </c>
      <c r="C158" s="2">
        <f>_xlfn.FLOOR.MATH([1]!Table1[[#This Row],[year]],10)</f>
        <v>1980</v>
      </c>
      <c r="D158" t="s">
        <v>20</v>
      </c>
      <c r="E158" t="s">
        <v>23</v>
      </c>
      <c r="F158">
        <v>4</v>
      </c>
      <c r="G158">
        <v>2</v>
      </c>
      <c r="H158" t="s">
        <v>74</v>
      </c>
      <c r="I158" t="s">
        <v>83</v>
      </c>
      <c r="J158" t="s">
        <v>17</v>
      </c>
      <c r="K158" t="b">
        <v>1</v>
      </c>
      <c r="L158">
        <v>1986</v>
      </c>
      <c r="M158">
        <v>764946585850.93298</v>
      </c>
      <c r="N158">
        <v>120018787249.41299</v>
      </c>
      <c r="O158">
        <v>1</v>
      </c>
    </row>
    <row r="159" spans="1:15" x14ac:dyDescent="0.3">
      <c r="A159" s="1">
        <v>411</v>
      </c>
      <c r="B159" s="2">
        <v>31592</v>
      </c>
      <c r="C159" s="2">
        <f>_xlfn.FLOOR.MATH([1]!Table1[[#This Row],[year]],10)</f>
        <v>1980</v>
      </c>
      <c r="D159" t="s">
        <v>19</v>
      </c>
      <c r="E159" t="s">
        <v>16</v>
      </c>
      <c r="F159">
        <v>3</v>
      </c>
      <c r="G159">
        <v>2</v>
      </c>
      <c r="H159" t="s">
        <v>74</v>
      </c>
      <c r="I159" t="s">
        <v>84</v>
      </c>
      <c r="J159" t="s">
        <v>17</v>
      </c>
      <c r="K159" t="b">
        <v>1</v>
      </c>
      <c r="L159">
        <v>1986</v>
      </c>
      <c r="M159">
        <v>105872372613.85699</v>
      </c>
      <c r="N159">
        <v>1050092624515.9</v>
      </c>
      <c r="O159">
        <v>-1</v>
      </c>
    </row>
    <row r="160" spans="1:15" x14ac:dyDescent="0.3">
      <c r="A160" s="1">
        <v>412</v>
      </c>
      <c r="B160" s="2">
        <v>33032</v>
      </c>
      <c r="C160" s="2">
        <f>_xlfn.FLOOR.MATH([1]!Table1[[#This Row],[year]],10)</f>
        <v>1990</v>
      </c>
      <c r="D160" t="s">
        <v>19</v>
      </c>
      <c r="E160" t="s">
        <v>40</v>
      </c>
      <c r="F160">
        <v>0</v>
      </c>
      <c r="G160">
        <v>1</v>
      </c>
      <c r="H160" t="s">
        <v>74</v>
      </c>
      <c r="I160" t="s">
        <v>116</v>
      </c>
      <c r="J160" t="s">
        <v>18</v>
      </c>
      <c r="K160" t="b">
        <v>1</v>
      </c>
      <c r="L160">
        <v>1990</v>
      </c>
      <c r="M160">
        <v>141352654305.16299</v>
      </c>
      <c r="N160">
        <v>12314482627.8454</v>
      </c>
      <c r="O160">
        <v>-1</v>
      </c>
    </row>
    <row r="161" spans="1:15" x14ac:dyDescent="0.3">
      <c r="A161" s="1">
        <v>413</v>
      </c>
      <c r="B161" s="2">
        <v>33033</v>
      </c>
      <c r="C161" s="2">
        <f>_xlfn.FLOOR.MATH([1]!Table1[[#This Row],[year]],10)</f>
        <v>1990</v>
      </c>
      <c r="D161" t="s">
        <v>18</v>
      </c>
      <c r="E161" t="s">
        <v>29</v>
      </c>
      <c r="F161">
        <v>1</v>
      </c>
      <c r="G161">
        <v>0</v>
      </c>
      <c r="H161" t="s">
        <v>74</v>
      </c>
      <c r="I161" t="s">
        <v>117</v>
      </c>
      <c r="J161" t="s">
        <v>18</v>
      </c>
      <c r="K161" t="b">
        <v>0</v>
      </c>
      <c r="L161">
        <v>1990</v>
      </c>
      <c r="M161">
        <v>1183945130898.51</v>
      </c>
      <c r="N161">
        <v>165811372382.91199</v>
      </c>
      <c r="O161">
        <v>1</v>
      </c>
    </row>
    <row r="162" spans="1:15" x14ac:dyDescent="0.3">
      <c r="A162" s="1">
        <v>415</v>
      </c>
      <c r="B162" s="2">
        <v>33033</v>
      </c>
      <c r="C162" s="2">
        <f>_xlfn.FLOOR.MATH([1]!Table1[[#This Row],[year]],10)</f>
        <v>1990</v>
      </c>
      <c r="D162" t="s">
        <v>39</v>
      </c>
      <c r="E162" t="s">
        <v>15</v>
      </c>
      <c r="F162">
        <v>0</v>
      </c>
      <c r="G162">
        <v>2</v>
      </c>
      <c r="H162" t="s">
        <v>74</v>
      </c>
      <c r="I162" t="s">
        <v>118</v>
      </c>
      <c r="J162" t="s">
        <v>18</v>
      </c>
      <c r="K162" t="b">
        <v>1</v>
      </c>
      <c r="L162">
        <v>1990</v>
      </c>
      <c r="M162">
        <v>50701443748.297501</v>
      </c>
      <c r="N162">
        <v>47844090709.990799</v>
      </c>
      <c r="O162">
        <v>-1</v>
      </c>
    </row>
    <row r="163" spans="1:15" x14ac:dyDescent="0.3">
      <c r="A163" s="1">
        <v>416</v>
      </c>
      <c r="B163" s="2">
        <v>33034</v>
      </c>
      <c r="C163" s="2">
        <f>_xlfn.FLOOR.MATH([1]!Table1[[#This Row],[year]],10)</f>
        <v>1990</v>
      </c>
      <c r="D163" t="s">
        <v>13</v>
      </c>
      <c r="E163" t="s">
        <v>25</v>
      </c>
      <c r="F163">
        <v>2</v>
      </c>
      <c r="G163">
        <v>1</v>
      </c>
      <c r="H163" t="s">
        <v>74</v>
      </c>
      <c r="I163" t="s">
        <v>119</v>
      </c>
      <c r="J163" t="s">
        <v>18</v>
      </c>
      <c r="K163" t="b">
        <v>1</v>
      </c>
      <c r="L163">
        <v>1990</v>
      </c>
      <c r="M163">
        <v>390725626002.86603</v>
      </c>
      <c r="N163">
        <v>261466577008.853</v>
      </c>
      <c r="O163">
        <v>1</v>
      </c>
    </row>
    <row r="164" spans="1:15" x14ac:dyDescent="0.3">
      <c r="A164" s="1">
        <v>418</v>
      </c>
      <c r="B164" s="2">
        <v>33034</v>
      </c>
      <c r="C164" s="2">
        <f>_xlfn.FLOOR.MATH([1]!Table1[[#This Row],[year]],10)</f>
        <v>1990</v>
      </c>
      <c r="D164" t="s">
        <v>41</v>
      </c>
      <c r="E164" t="s">
        <v>227</v>
      </c>
      <c r="F164">
        <v>1</v>
      </c>
      <c r="G164">
        <v>5</v>
      </c>
      <c r="H164" t="s">
        <v>74</v>
      </c>
      <c r="I164" t="s">
        <v>124</v>
      </c>
      <c r="J164" t="s">
        <v>18</v>
      </c>
      <c r="K164" t="b">
        <v>1</v>
      </c>
      <c r="L164">
        <v>1990</v>
      </c>
      <c r="M164">
        <v>5963144000000</v>
      </c>
      <c r="N164">
        <v>41016881802.484299</v>
      </c>
      <c r="O164">
        <v>-1</v>
      </c>
    </row>
    <row r="165" spans="1:15" x14ac:dyDescent="0.3">
      <c r="A165" s="1">
        <v>422</v>
      </c>
      <c r="B165" s="2">
        <v>33036</v>
      </c>
      <c r="C165" s="2">
        <f>_xlfn.FLOOR.MATH([1]!Table1[[#This Row],[year]],10)</f>
        <v>1990</v>
      </c>
      <c r="D165" t="s">
        <v>27</v>
      </c>
      <c r="E165" t="s">
        <v>228</v>
      </c>
      <c r="F165">
        <v>1</v>
      </c>
      <c r="G165">
        <v>1</v>
      </c>
      <c r="H165" t="s">
        <v>74</v>
      </c>
      <c r="I165" t="s">
        <v>229</v>
      </c>
      <c r="J165" t="s">
        <v>18</v>
      </c>
      <c r="K165" t="b">
        <v>1</v>
      </c>
      <c r="L165">
        <v>1990</v>
      </c>
      <c r="M165">
        <v>318799003993.70697</v>
      </c>
      <c r="N165">
        <v>42978914311.350403</v>
      </c>
      <c r="O165">
        <v>0</v>
      </c>
    </row>
    <row r="166" spans="1:15" x14ac:dyDescent="0.3">
      <c r="A166" s="1">
        <v>424</v>
      </c>
      <c r="B166" s="2">
        <v>33037</v>
      </c>
      <c r="C166" s="2">
        <f>_xlfn.FLOOR.MATH([1]!Table1[[#This Row],[year]],10)</f>
        <v>1990</v>
      </c>
      <c r="D166" t="s">
        <v>26</v>
      </c>
      <c r="E166" t="s">
        <v>21</v>
      </c>
      <c r="F166">
        <v>0</v>
      </c>
      <c r="G166">
        <v>0</v>
      </c>
      <c r="H166" t="s">
        <v>74</v>
      </c>
      <c r="I166" t="s">
        <v>120</v>
      </c>
      <c r="J166" t="s">
        <v>18</v>
      </c>
      <c r="K166" t="b">
        <v>1</v>
      </c>
      <c r="L166">
        <v>1990</v>
      </c>
      <c r="M166">
        <v>9298807850.2997894</v>
      </c>
      <c r="N166">
        <v>536175326477.31</v>
      </c>
      <c r="O166">
        <v>0</v>
      </c>
    </row>
    <row r="167" spans="1:15" x14ac:dyDescent="0.3">
      <c r="A167" s="1">
        <v>425</v>
      </c>
      <c r="B167" s="2">
        <v>33038</v>
      </c>
      <c r="C167" s="2">
        <f>_xlfn.FLOOR.MATH([1]!Table1[[#This Row],[year]],10)</f>
        <v>1990</v>
      </c>
      <c r="D167" t="s">
        <v>40</v>
      </c>
      <c r="E167" t="s">
        <v>44</v>
      </c>
      <c r="F167">
        <v>2</v>
      </c>
      <c r="G167">
        <v>1</v>
      </c>
      <c r="H167" t="s">
        <v>74</v>
      </c>
      <c r="I167" t="s">
        <v>121</v>
      </c>
      <c r="J167" t="s">
        <v>18</v>
      </c>
      <c r="K167" t="b">
        <v>1</v>
      </c>
      <c r="L167">
        <v>1990</v>
      </c>
      <c r="M167">
        <v>12314482627.8454</v>
      </c>
      <c r="N167">
        <v>38247882300.490402</v>
      </c>
      <c r="O167">
        <v>-1</v>
      </c>
    </row>
    <row r="168" spans="1:15" x14ac:dyDescent="0.3">
      <c r="A168" s="1">
        <v>426</v>
      </c>
      <c r="B168" s="2">
        <v>33038</v>
      </c>
      <c r="C168" s="2">
        <f>_xlfn.FLOOR.MATH([1]!Table1[[#This Row],[year]],10)</f>
        <v>1990</v>
      </c>
      <c r="D168" t="s">
        <v>18</v>
      </c>
      <c r="E168" t="s">
        <v>41</v>
      </c>
      <c r="F168">
        <v>1</v>
      </c>
      <c r="G168">
        <v>0</v>
      </c>
      <c r="H168" t="s">
        <v>74</v>
      </c>
      <c r="I168" t="s">
        <v>117</v>
      </c>
      <c r="J168" t="s">
        <v>18</v>
      </c>
      <c r="K168" t="b">
        <v>0</v>
      </c>
      <c r="L168">
        <v>1990</v>
      </c>
      <c r="M168">
        <v>1183945130898.51</v>
      </c>
      <c r="N168">
        <v>5963144000000</v>
      </c>
      <c r="O168">
        <v>-1</v>
      </c>
    </row>
    <row r="169" spans="1:15" x14ac:dyDescent="0.3">
      <c r="A169" s="1">
        <v>428</v>
      </c>
      <c r="B169" s="2">
        <v>33039</v>
      </c>
      <c r="C169" s="2">
        <f>_xlfn.FLOOR.MATH([1]!Table1[[#This Row],[year]],10)</f>
        <v>1990</v>
      </c>
      <c r="D169" t="s">
        <v>29</v>
      </c>
      <c r="E169" t="s">
        <v>227</v>
      </c>
      <c r="F169">
        <v>0</v>
      </c>
      <c r="G169">
        <v>1</v>
      </c>
      <c r="H169" t="s">
        <v>74</v>
      </c>
      <c r="I169" t="s">
        <v>124</v>
      </c>
      <c r="J169" t="s">
        <v>18</v>
      </c>
      <c r="K169" t="b">
        <v>1</v>
      </c>
      <c r="L169">
        <v>1990</v>
      </c>
      <c r="M169">
        <v>165811372382.91199</v>
      </c>
      <c r="N169">
        <v>41016881802.484299</v>
      </c>
      <c r="O169">
        <v>-1</v>
      </c>
    </row>
    <row r="170" spans="1:15" x14ac:dyDescent="0.3">
      <c r="A170" s="1">
        <v>429</v>
      </c>
      <c r="B170" s="2">
        <v>33039</v>
      </c>
      <c r="C170" s="2">
        <f>_xlfn.FLOOR.MATH([1]!Table1[[#This Row],[year]],10)</f>
        <v>1990</v>
      </c>
      <c r="D170" t="s">
        <v>16</v>
      </c>
      <c r="E170" t="s">
        <v>39</v>
      </c>
      <c r="F170">
        <v>5</v>
      </c>
      <c r="G170">
        <v>1</v>
      </c>
      <c r="H170" t="s">
        <v>74</v>
      </c>
      <c r="I170" t="s">
        <v>116</v>
      </c>
      <c r="J170" t="s">
        <v>18</v>
      </c>
      <c r="K170" t="b">
        <v>1</v>
      </c>
      <c r="L170">
        <v>1990</v>
      </c>
      <c r="M170">
        <v>1778162195860.0701</v>
      </c>
      <c r="N170">
        <v>50701443748.297501</v>
      </c>
      <c r="O170">
        <v>1</v>
      </c>
    </row>
    <row r="171" spans="1:15" x14ac:dyDescent="0.3">
      <c r="A171" s="1">
        <v>430</v>
      </c>
      <c r="B171" s="2">
        <v>33040</v>
      </c>
      <c r="C171" s="2">
        <f>_xlfn.FLOOR.MATH([1]!Table1[[#This Row],[year]],10)</f>
        <v>1990</v>
      </c>
      <c r="D171" t="s">
        <v>13</v>
      </c>
      <c r="E171" t="s">
        <v>56</v>
      </c>
      <c r="F171">
        <v>1</v>
      </c>
      <c r="G171">
        <v>0</v>
      </c>
      <c r="H171" t="s">
        <v>74</v>
      </c>
      <c r="I171" t="s">
        <v>119</v>
      </c>
      <c r="J171" t="s">
        <v>18</v>
      </c>
      <c r="K171" t="b">
        <v>1</v>
      </c>
      <c r="L171">
        <v>1990</v>
      </c>
      <c r="M171">
        <v>390725626002.86603</v>
      </c>
      <c r="N171">
        <v>5711687786.7598896</v>
      </c>
      <c r="O171">
        <v>1</v>
      </c>
    </row>
    <row r="172" spans="1:15" x14ac:dyDescent="0.3">
      <c r="A172" s="1">
        <v>431</v>
      </c>
      <c r="B172" s="2">
        <v>33040</v>
      </c>
      <c r="C172" s="2">
        <f>_xlfn.FLOOR.MATH([1]!Table1[[#This Row],[year]],10)</f>
        <v>1990</v>
      </c>
      <c r="D172" t="s">
        <v>207</v>
      </c>
      <c r="E172" t="s">
        <v>27</v>
      </c>
      <c r="F172">
        <v>0</v>
      </c>
      <c r="G172">
        <v>0</v>
      </c>
      <c r="H172" t="s">
        <v>74</v>
      </c>
      <c r="I172" t="s">
        <v>230</v>
      </c>
      <c r="J172" t="s">
        <v>18</v>
      </c>
      <c r="K172" t="b">
        <v>1</v>
      </c>
      <c r="L172">
        <v>1990</v>
      </c>
      <c r="M172">
        <v>1093169389204.55</v>
      </c>
      <c r="N172">
        <v>318799003993.70697</v>
      </c>
      <c r="O172">
        <v>0</v>
      </c>
    </row>
    <row r="173" spans="1:15" x14ac:dyDescent="0.3">
      <c r="A173" s="1">
        <v>433</v>
      </c>
      <c r="B173" s="2">
        <v>33041</v>
      </c>
      <c r="C173" s="2">
        <f>_xlfn.FLOOR.MATH([1]!Table1[[#This Row],[year]],10)</f>
        <v>1990</v>
      </c>
      <c r="D173" t="s">
        <v>23</v>
      </c>
      <c r="E173" t="s">
        <v>26</v>
      </c>
      <c r="F173">
        <v>3</v>
      </c>
      <c r="G173">
        <v>1</v>
      </c>
      <c r="H173" t="s">
        <v>74</v>
      </c>
      <c r="I173" t="s">
        <v>122</v>
      </c>
      <c r="J173" t="s">
        <v>18</v>
      </c>
      <c r="K173" t="b">
        <v>1</v>
      </c>
      <c r="L173">
        <v>1990</v>
      </c>
      <c r="M173">
        <v>205331747947.85101</v>
      </c>
      <c r="N173">
        <v>9298807850.2997894</v>
      </c>
      <c r="O173">
        <v>1</v>
      </c>
    </row>
    <row r="174" spans="1:15" x14ac:dyDescent="0.3">
      <c r="A174" s="1">
        <v>436</v>
      </c>
      <c r="B174" s="2">
        <v>33042</v>
      </c>
      <c r="C174" s="2">
        <f>_xlfn.FLOOR.MATH([1]!Table1[[#This Row],[year]],10)</f>
        <v>1990</v>
      </c>
      <c r="D174" t="s">
        <v>19</v>
      </c>
      <c r="E174" t="s">
        <v>44</v>
      </c>
      <c r="F174">
        <v>1</v>
      </c>
      <c r="G174">
        <v>1</v>
      </c>
      <c r="H174" t="s">
        <v>74</v>
      </c>
      <c r="I174" t="s">
        <v>123</v>
      </c>
      <c r="J174" t="s">
        <v>18</v>
      </c>
      <c r="K174" t="b">
        <v>1</v>
      </c>
      <c r="L174">
        <v>1990</v>
      </c>
      <c r="M174">
        <v>141352654305.16299</v>
      </c>
      <c r="N174">
        <v>38247882300.490402</v>
      </c>
      <c r="O174">
        <v>0</v>
      </c>
    </row>
    <row r="175" spans="1:15" x14ac:dyDescent="0.3">
      <c r="A175" s="1">
        <v>438</v>
      </c>
      <c r="B175" s="2">
        <v>33043</v>
      </c>
      <c r="C175" s="2">
        <f>_xlfn.FLOOR.MATH([1]!Table1[[#This Row],[year]],10)</f>
        <v>1990</v>
      </c>
      <c r="D175" t="s">
        <v>29</v>
      </c>
      <c r="E175" t="s">
        <v>41</v>
      </c>
      <c r="F175">
        <v>2</v>
      </c>
      <c r="G175">
        <v>1</v>
      </c>
      <c r="H175" t="s">
        <v>74</v>
      </c>
      <c r="I175" t="s">
        <v>124</v>
      </c>
      <c r="J175" t="s">
        <v>18</v>
      </c>
      <c r="K175" t="b">
        <v>1</v>
      </c>
      <c r="L175">
        <v>1990</v>
      </c>
      <c r="M175">
        <v>165811372382.91199</v>
      </c>
      <c r="N175">
        <v>5963144000000</v>
      </c>
      <c r="O175">
        <v>-1</v>
      </c>
    </row>
    <row r="176" spans="1:15" x14ac:dyDescent="0.3">
      <c r="A176" s="1">
        <v>439</v>
      </c>
      <c r="B176" s="2">
        <v>33043</v>
      </c>
      <c r="C176" s="2">
        <f>_xlfn.FLOOR.MATH([1]!Table1[[#This Row],[year]],10)</f>
        <v>1990</v>
      </c>
      <c r="D176" t="s">
        <v>16</v>
      </c>
      <c r="E176" t="s">
        <v>15</v>
      </c>
      <c r="F176">
        <v>1</v>
      </c>
      <c r="G176">
        <v>1</v>
      </c>
      <c r="H176" t="s">
        <v>74</v>
      </c>
      <c r="I176" t="s">
        <v>116</v>
      </c>
      <c r="J176" t="s">
        <v>18</v>
      </c>
      <c r="K176" t="b">
        <v>1</v>
      </c>
      <c r="L176">
        <v>1990</v>
      </c>
      <c r="M176">
        <v>1778162195860.0701</v>
      </c>
      <c r="N176">
        <v>47844090709.990799</v>
      </c>
      <c r="O176">
        <v>0</v>
      </c>
    </row>
    <row r="177" spans="1:15" x14ac:dyDescent="0.3">
      <c r="A177" s="1">
        <v>440</v>
      </c>
      <c r="B177" s="2">
        <v>33043</v>
      </c>
      <c r="C177" s="2">
        <f>_xlfn.FLOOR.MATH([1]!Table1[[#This Row],[year]],10)</f>
        <v>1990</v>
      </c>
      <c r="D177" t="s">
        <v>18</v>
      </c>
      <c r="E177" t="s">
        <v>227</v>
      </c>
      <c r="F177">
        <v>2</v>
      </c>
      <c r="G177">
        <v>0</v>
      </c>
      <c r="H177" t="s">
        <v>74</v>
      </c>
      <c r="I177" t="s">
        <v>117</v>
      </c>
      <c r="J177" t="s">
        <v>18</v>
      </c>
      <c r="K177" t="b">
        <v>0</v>
      </c>
      <c r="L177">
        <v>1990</v>
      </c>
      <c r="M177">
        <v>1183945130898.51</v>
      </c>
      <c r="N177">
        <v>41016881802.484299</v>
      </c>
      <c r="O177">
        <v>1</v>
      </c>
    </row>
    <row r="178" spans="1:15" x14ac:dyDescent="0.3">
      <c r="A178" s="1">
        <v>443</v>
      </c>
      <c r="B178" s="2">
        <v>33044</v>
      </c>
      <c r="C178" s="2">
        <f>_xlfn.FLOOR.MATH([1]!Table1[[#This Row],[year]],10)</f>
        <v>1990</v>
      </c>
      <c r="D178" t="s">
        <v>25</v>
      </c>
      <c r="E178" t="s">
        <v>56</v>
      </c>
      <c r="F178">
        <v>1</v>
      </c>
      <c r="G178">
        <v>2</v>
      </c>
      <c r="H178" t="s">
        <v>74</v>
      </c>
      <c r="I178" t="s">
        <v>125</v>
      </c>
      <c r="J178" t="s">
        <v>18</v>
      </c>
      <c r="K178" t="b">
        <v>1</v>
      </c>
      <c r="L178">
        <v>1990</v>
      </c>
      <c r="M178">
        <v>261466577008.853</v>
      </c>
      <c r="N178">
        <v>5711687786.7598896</v>
      </c>
      <c r="O178">
        <v>-1</v>
      </c>
    </row>
    <row r="179" spans="1:15" x14ac:dyDescent="0.3">
      <c r="A179" s="1">
        <v>444</v>
      </c>
      <c r="B179" s="2">
        <v>33045</v>
      </c>
      <c r="C179" s="2">
        <f>_xlfn.FLOOR.MATH([1]!Table1[[#This Row],[year]],10)</f>
        <v>1990</v>
      </c>
      <c r="D179" t="s">
        <v>23</v>
      </c>
      <c r="E179" t="s">
        <v>21</v>
      </c>
      <c r="F179">
        <v>1</v>
      </c>
      <c r="G179">
        <v>2</v>
      </c>
      <c r="H179" t="s">
        <v>74</v>
      </c>
      <c r="I179" t="s">
        <v>122</v>
      </c>
      <c r="J179" t="s">
        <v>18</v>
      </c>
      <c r="K179" t="b">
        <v>1</v>
      </c>
      <c r="L179">
        <v>1990</v>
      </c>
      <c r="M179">
        <v>205331747947.85101</v>
      </c>
      <c r="N179">
        <v>536175326477.31</v>
      </c>
      <c r="O179">
        <v>1</v>
      </c>
    </row>
    <row r="180" spans="1:15" x14ac:dyDescent="0.3">
      <c r="A180" s="1">
        <v>445</v>
      </c>
      <c r="B180" s="2">
        <v>33045</v>
      </c>
      <c r="C180" s="2">
        <f>_xlfn.FLOOR.MATH([1]!Table1[[#This Row],[year]],10)</f>
        <v>1990</v>
      </c>
      <c r="D180" t="s">
        <v>207</v>
      </c>
      <c r="E180" t="s">
        <v>228</v>
      </c>
      <c r="F180">
        <v>1</v>
      </c>
      <c r="G180">
        <v>0</v>
      </c>
      <c r="H180" t="s">
        <v>74</v>
      </c>
      <c r="I180" t="s">
        <v>230</v>
      </c>
      <c r="J180" t="s">
        <v>18</v>
      </c>
      <c r="K180" t="b">
        <v>1</v>
      </c>
      <c r="L180">
        <v>1990</v>
      </c>
      <c r="M180">
        <v>1093169389204.55</v>
      </c>
      <c r="N180">
        <v>42978914311.350403</v>
      </c>
      <c r="O180">
        <v>1</v>
      </c>
    </row>
    <row r="181" spans="1:15" x14ac:dyDescent="0.3">
      <c r="A181" s="1">
        <v>448</v>
      </c>
      <c r="B181" s="2">
        <v>33047</v>
      </c>
      <c r="C181" s="2">
        <f>_xlfn.FLOOR.MATH([1]!Table1[[#This Row],[year]],10)</f>
        <v>1990</v>
      </c>
      <c r="D181" t="s">
        <v>40</v>
      </c>
      <c r="E181" t="s">
        <v>15</v>
      </c>
      <c r="F181">
        <v>2</v>
      </c>
      <c r="G181">
        <v>1</v>
      </c>
      <c r="H181" t="s">
        <v>74</v>
      </c>
      <c r="I181" t="s">
        <v>123</v>
      </c>
      <c r="J181" t="s">
        <v>18</v>
      </c>
      <c r="K181" t="b">
        <v>1</v>
      </c>
      <c r="L181">
        <v>1990</v>
      </c>
      <c r="M181">
        <v>12314482627.8454</v>
      </c>
      <c r="N181">
        <v>47844090709.990799</v>
      </c>
      <c r="O181">
        <v>-1</v>
      </c>
    </row>
    <row r="182" spans="1:15" x14ac:dyDescent="0.3">
      <c r="A182" s="1">
        <v>449</v>
      </c>
      <c r="B182" s="2">
        <v>33047</v>
      </c>
      <c r="C182" s="2">
        <f>_xlfn.FLOOR.MATH([1]!Table1[[#This Row],[year]],10)</f>
        <v>1990</v>
      </c>
      <c r="D182" t="s">
        <v>227</v>
      </c>
      <c r="E182" t="s">
        <v>56</v>
      </c>
      <c r="F182">
        <v>4</v>
      </c>
      <c r="G182">
        <v>1</v>
      </c>
      <c r="H182" t="s">
        <v>74</v>
      </c>
      <c r="I182" t="s">
        <v>121</v>
      </c>
      <c r="J182" t="s">
        <v>18</v>
      </c>
      <c r="K182" t="b">
        <v>1</v>
      </c>
      <c r="L182">
        <v>1990</v>
      </c>
      <c r="M182">
        <v>41016881802.484299</v>
      </c>
      <c r="N182">
        <v>5711687786.7598896</v>
      </c>
      <c r="O182">
        <v>1</v>
      </c>
    </row>
    <row r="183" spans="1:15" x14ac:dyDescent="0.3">
      <c r="A183" s="1">
        <v>450</v>
      </c>
      <c r="B183" s="2">
        <v>33048</v>
      </c>
      <c r="C183" s="2">
        <f>_xlfn.FLOOR.MATH([1]!Table1[[#This Row],[year]],10)</f>
        <v>1990</v>
      </c>
      <c r="D183" t="s">
        <v>13</v>
      </c>
      <c r="E183" t="s">
        <v>19</v>
      </c>
      <c r="F183">
        <v>0</v>
      </c>
      <c r="G183">
        <v>1</v>
      </c>
      <c r="H183" t="s">
        <v>74</v>
      </c>
      <c r="I183" t="s">
        <v>119</v>
      </c>
      <c r="J183" t="s">
        <v>18</v>
      </c>
      <c r="K183" t="b">
        <v>1</v>
      </c>
      <c r="L183">
        <v>1990</v>
      </c>
      <c r="M183">
        <v>390725626002.86603</v>
      </c>
      <c r="N183">
        <v>141352654305.16299</v>
      </c>
      <c r="O183">
        <v>-1</v>
      </c>
    </row>
    <row r="184" spans="1:15" x14ac:dyDescent="0.3">
      <c r="A184" s="1">
        <v>451</v>
      </c>
      <c r="B184" s="2">
        <v>33048</v>
      </c>
      <c r="C184" s="2">
        <f>_xlfn.FLOOR.MATH([1]!Table1[[#This Row],[year]],10)</f>
        <v>1990</v>
      </c>
      <c r="D184" t="s">
        <v>16</v>
      </c>
      <c r="E184" t="s">
        <v>27</v>
      </c>
      <c r="F184">
        <v>2</v>
      </c>
      <c r="G184">
        <v>1</v>
      </c>
      <c r="H184" t="s">
        <v>74</v>
      </c>
      <c r="I184" t="s">
        <v>116</v>
      </c>
      <c r="J184" t="s">
        <v>18</v>
      </c>
      <c r="K184" t="b">
        <v>1</v>
      </c>
      <c r="L184">
        <v>1990</v>
      </c>
      <c r="M184">
        <v>1778162195860.0701</v>
      </c>
      <c r="N184">
        <v>318799003993.70697</v>
      </c>
      <c r="O184">
        <v>1</v>
      </c>
    </row>
    <row r="185" spans="1:15" x14ac:dyDescent="0.3">
      <c r="A185" s="1">
        <v>453</v>
      </c>
      <c r="B185" s="2">
        <v>33049</v>
      </c>
      <c r="C185" s="2">
        <f>_xlfn.FLOOR.MATH([1]!Table1[[#This Row],[year]],10)</f>
        <v>1990</v>
      </c>
      <c r="D185" t="s">
        <v>18</v>
      </c>
      <c r="E185" t="s">
        <v>26</v>
      </c>
      <c r="F185">
        <v>2</v>
      </c>
      <c r="G185">
        <v>0</v>
      </c>
      <c r="H185" t="s">
        <v>74</v>
      </c>
      <c r="I185" t="s">
        <v>117</v>
      </c>
      <c r="J185" t="s">
        <v>18</v>
      </c>
      <c r="K185" t="b">
        <v>0</v>
      </c>
      <c r="L185">
        <v>1990</v>
      </c>
      <c r="M185">
        <v>1183945130898.51</v>
      </c>
      <c r="N185">
        <v>9298807850.2997894</v>
      </c>
      <c r="O185">
        <v>1</v>
      </c>
    </row>
    <row r="186" spans="1:15" x14ac:dyDescent="0.3">
      <c r="A186" s="1">
        <v>454</v>
      </c>
      <c r="B186" s="2">
        <v>33050</v>
      </c>
      <c r="C186" s="2">
        <f>_xlfn.FLOOR.MATH([1]!Table1[[#This Row],[year]],10)</f>
        <v>1990</v>
      </c>
      <c r="D186" t="s">
        <v>207</v>
      </c>
      <c r="E186" t="s">
        <v>23</v>
      </c>
      <c r="F186">
        <v>1</v>
      </c>
      <c r="G186">
        <v>0</v>
      </c>
      <c r="H186" t="s">
        <v>74</v>
      </c>
      <c r="I186" t="s">
        <v>118</v>
      </c>
      <c r="J186" t="s">
        <v>18</v>
      </c>
      <c r="K186" t="b">
        <v>1</v>
      </c>
      <c r="L186">
        <v>1990</v>
      </c>
      <c r="M186">
        <v>1093169389204.55</v>
      </c>
      <c r="N186">
        <v>205331747947.85101</v>
      </c>
      <c r="O186">
        <v>1</v>
      </c>
    </row>
    <row r="187" spans="1:15" x14ac:dyDescent="0.3">
      <c r="A187" s="1">
        <v>458</v>
      </c>
      <c r="B187" s="2">
        <v>33055</v>
      </c>
      <c r="C187" s="2">
        <f>_xlfn.FLOOR.MATH([1]!Table1[[#This Row],[year]],10)</f>
        <v>1990</v>
      </c>
      <c r="D187" t="s">
        <v>40</v>
      </c>
      <c r="E187" t="s">
        <v>207</v>
      </c>
      <c r="F187">
        <v>2</v>
      </c>
      <c r="G187">
        <v>3</v>
      </c>
      <c r="H187" t="s">
        <v>74</v>
      </c>
      <c r="I187" t="s">
        <v>123</v>
      </c>
      <c r="J187" t="s">
        <v>18</v>
      </c>
      <c r="K187" t="b">
        <v>1</v>
      </c>
      <c r="L187">
        <v>1990</v>
      </c>
      <c r="M187">
        <v>12314482627.8454</v>
      </c>
      <c r="N187">
        <v>1093169389204.55</v>
      </c>
      <c r="O187">
        <v>1</v>
      </c>
    </row>
    <row r="188" spans="1:15" x14ac:dyDescent="0.3">
      <c r="A188" s="1">
        <v>459</v>
      </c>
      <c r="B188" s="2">
        <v>33055</v>
      </c>
      <c r="C188" s="2">
        <f>_xlfn.FLOOR.MATH([1]!Table1[[#This Row],[year]],10)</f>
        <v>1990</v>
      </c>
      <c r="D188" t="s">
        <v>16</v>
      </c>
      <c r="E188" t="s">
        <v>227</v>
      </c>
      <c r="F188">
        <v>1</v>
      </c>
      <c r="G188">
        <v>0</v>
      </c>
      <c r="H188" t="s">
        <v>74</v>
      </c>
      <c r="I188" t="s">
        <v>116</v>
      </c>
      <c r="J188" t="s">
        <v>18</v>
      </c>
      <c r="K188" t="b">
        <v>1</v>
      </c>
      <c r="L188">
        <v>1990</v>
      </c>
      <c r="M188">
        <v>1778162195860.0701</v>
      </c>
      <c r="N188">
        <v>41016881802.484299</v>
      </c>
      <c r="O188">
        <v>1</v>
      </c>
    </row>
    <row r="189" spans="1:15" x14ac:dyDescent="0.3">
      <c r="A189" s="1">
        <v>460</v>
      </c>
      <c r="B189" s="2">
        <v>33057</v>
      </c>
      <c r="C189" s="2">
        <f>_xlfn.FLOOR.MATH([1]!Table1[[#This Row],[year]],10)</f>
        <v>1990</v>
      </c>
      <c r="D189" t="s">
        <v>18</v>
      </c>
      <c r="E189" t="s">
        <v>19</v>
      </c>
      <c r="F189">
        <v>1</v>
      </c>
      <c r="G189">
        <v>1</v>
      </c>
      <c r="H189" t="s">
        <v>74</v>
      </c>
      <c r="I189" t="s">
        <v>123</v>
      </c>
      <c r="J189" t="s">
        <v>18</v>
      </c>
      <c r="K189" t="b">
        <v>0</v>
      </c>
      <c r="L189">
        <v>1990</v>
      </c>
      <c r="M189">
        <v>1183945130898.51</v>
      </c>
      <c r="N189">
        <v>141352654305.16299</v>
      </c>
      <c r="O189">
        <v>0</v>
      </c>
    </row>
    <row r="190" spans="1:15" x14ac:dyDescent="0.3">
      <c r="A190" s="1">
        <v>461</v>
      </c>
      <c r="B190" s="2">
        <v>33058</v>
      </c>
      <c r="C190" s="2">
        <f>_xlfn.FLOOR.MATH([1]!Table1[[#This Row],[year]],10)</f>
        <v>1990</v>
      </c>
      <c r="D190" t="s">
        <v>16</v>
      </c>
      <c r="E190" t="s">
        <v>207</v>
      </c>
      <c r="F190">
        <v>1</v>
      </c>
      <c r="G190">
        <v>1</v>
      </c>
      <c r="H190" t="s">
        <v>74</v>
      </c>
      <c r="I190" t="s">
        <v>119</v>
      </c>
      <c r="J190" t="s">
        <v>18</v>
      </c>
      <c r="K190" t="b">
        <v>1</v>
      </c>
      <c r="L190">
        <v>1990</v>
      </c>
      <c r="M190">
        <v>1778162195860.0701</v>
      </c>
      <c r="N190">
        <v>1093169389204.55</v>
      </c>
      <c r="O190">
        <v>0</v>
      </c>
    </row>
    <row r="191" spans="1:15" x14ac:dyDescent="0.3">
      <c r="A191" s="1">
        <v>462</v>
      </c>
      <c r="B191" s="2">
        <v>33061</v>
      </c>
      <c r="C191" s="2">
        <f>_xlfn.FLOOR.MATH([1]!Table1[[#This Row],[year]],10)</f>
        <v>1990</v>
      </c>
      <c r="D191" t="s">
        <v>18</v>
      </c>
      <c r="E191" t="s">
        <v>207</v>
      </c>
      <c r="F191">
        <v>2</v>
      </c>
      <c r="G191">
        <v>1</v>
      </c>
      <c r="H191" t="s">
        <v>74</v>
      </c>
      <c r="I191" t="s">
        <v>121</v>
      </c>
      <c r="J191" t="s">
        <v>18</v>
      </c>
      <c r="K191" t="b">
        <v>0</v>
      </c>
      <c r="L191">
        <v>1990</v>
      </c>
      <c r="M191">
        <v>1183945130898.51</v>
      </c>
      <c r="N191">
        <v>1093169389204.55</v>
      </c>
      <c r="O191">
        <v>1</v>
      </c>
    </row>
    <row r="192" spans="1:15" x14ac:dyDescent="0.3">
      <c r="A192" s="1">
        <v>463</v>
      </c>
      <c r="B192" s="2">
        <v>33062</v>
      </c>
      <c r="C192" s="2">
        <f>_xlfn.FLOOR.MATH([1]!Table1[[#This Row],[year]],10)</f>
        <v>1990</v>
      </c>
      <c r="D192" t="s">
        <v>16</v>
      </c>
      <c r="E192" t="s">
        <v>19</v>
      </c>
      <c r="F192">
        <v>1</v>
      </c>
      <c r="G192">
        <v>0</v>
      </c>
      <c r="H192" t="s">
        <v>74</v>
      </c>
      <c r="I192" t="s">
        <v>117</v>
      </c>
      <c r="J192" t="s">
        <v>18</v>
      </c>
      <c r="K192" t="b">
        <v>1</v>
      </c>
      <c r="L192">
        <v>1990</v>
      </c>
      <c r="M192">
        <v>1778162195860.0701</v>
      </c>
      <c r="N192">
        <v>141352654305.16299</v>
      </c>
      <c r="O192">
        <v>1</v>
      </c>
    </row>
    <row r="193" spans="1:15" x14ac:dyDescent="0.3">
      <c r="A193" s="1">
        <v>464</v>
      </c>
      <c r="B193" s="2">
        <v>34502</v>
      </c>
      <c r="C193" s="2">
        <f>_xlfn.FLOOR.MATH([1]!Table1[[#This Row],[year]],10)</f>
        <v>1990</v>
      </c>
      <c r="D193" t="s">
        <v>16</v>
      </c>
      <c r="E193" t="s">
        <v>47</v>
      </c>
      <c r="F193">
        <v>1</v>
      </c>
      <c r="G193">
        <v>0</v>
      </c>
      <c r="H193" t="s">
        <v>74</v>
      </c>
      <c r="I193" t="s">
        <v>126</v>
      </c>
      <c r="J193" t="s">
        <v>41</v>
      </c>
      <c r="K193" t="b">
        <v>1</v>
      </c>
      <c r="L193">
        <v>1994</v>
      </c>
      <c r="M193">
        <v>2215282632276.73</v>
      </c>
      <c r="N193">
        <v>5981222858.8272696</v>
      </c>
      <c r="O193">
        <v>1</v>
      </c>
    </row>
    <row r="194" spans="1:15" x14ac:dyDescent="0.3">
      <c r="A194" s="1">
        <v>466</v>
      </c>
      <c r="B194" s="2">
        <v>34503</v>
      </c>
      <c r="C194" s="2">
        <f>_xlfn.FLOOR.MATH([1]!Table1[[#This Row],[year]],10)</f>
        <v>1990</v>
      </c>
      <c r="D194" t="s">
        <v>15</v>
      </c>
      <c r="E194" t="s">
        <v>44</v>
      </c>
      <c r="F194">
        <v>1</v>
      </c>
      <c r="G194">
        <v>3</v>
      </c>
      <c r="H194" t="s">
        <v>74</v>
      </c>
      <c r="I194" t="s">
        <v>127</v>
      </c>
      <c r="J194" t="s">
        <v>41</v>
      </c>
      <c r="K194" t="b">
        <v>1</v>
      </c>
      <c r="L194">
        <v>1994</v>
      </c>
      <c r="M194">
        <v>81703500846.036407</v>
      </c>
      <c r="N194">
        <v>30072805104.2542</v>
      </c>
      <c r="O194">
        <v>-1</v>
      </c>
    </row>
    <row r="195" spans="1:15" x14ac:dyDescent="0.3">
      <c r="A195" s="1">
        <v>468</v>
      </c>
      <c r="B195" s="2">
        <v>34503</v>
      </c>
      <c r="C195" s="2">
        <f>_xlfn.FLOOR.MATH([1]!Table1[[#This Row],[year]],10)</f>
        <v>1990</v>
      </c>
      <c r="D195" t="s">
        <v>41</v>
      </c>
      <c r="E195" t="s">
        <v>46</v>
      </c>
      <c r="F195">
        <v>1</v>
      </c>
      <c r="G195">
        <v>1</v>
      </c>
      <c r="H195" t="s">
        <v>74</v>
      </c>
      <c r="I195" t="s">
        <v>128</v>
      </c>
      <c r="J195" t="s">
        <v>41</v>
      </c>
      <c r="K195" t="b">
        <v>0</v>
      </c>
      <c r="L195">
        <v>1994</v>
      </c>
      <c r="M195">
        <v>7287236000000</v>
      </c>
      <c r="N195">
        <v>301375055202.164</v>
      </c>
      <c r="O195">
        <v>0</v>
      </c>
    </row>
    <row r="196" spans="1:15" x14ac:dyDescent="0.3">
      <c r="A196" s="1">
        <v>469</v>
      </c>
      <c r="B196" s="2">
        <v>34504</v>
      </c>
      <c r="C196" s="2">
        <f>_xlfn.FLOOR.MATH([1]!Table1[[#This Row],[year]],10)</f>
        <v>1990</v>
      </c>
      <c r="D196" t="s">
        <v>23</v>
      </c>
      <c r="E196" t="s">
        <v>24</v>
      </c>
      <c r="F196">
        <v>1</v>
      </c>
      <c r="G196">
        <v>0</v>
      </c>
      <c r="H196" t="s">
        <v>74</v>
      </c>
      <c r="I196" t="s">
        <v>129</v>
      </c>
      <c r="J196" t="s">
        <v>41</v>
      </c>
      <c r="K196" t="b">
        <v>1</v>
      </c>
      <c r="L196">
        <v>1994</v>
      </c>
      <c r="M196">
        <v>244884129491.198</v>
      </c>
      <c r="N196">
        <v>35604137422.579597</v>
      </c>
      <c r="O196">
        <v>1</v>
      </c>
    </row>
    <row r="197" spans="1:15" x14ac:dyDescent="0.3">
      <c r="A197" s="1">
        <v>470</v>
      </c>
      <c r="B197" s="2">
        <v>34504</v>
      </c>
      <c r="C197" s="2">
        <f>_xlfn.FLOOR.MATH([1]!Table1[[#This Row],[year]],10)</f>
        <v>1990</v>
      </c>
      <c r="D197" t="s">
        <v>40</v>
      </c>
      <c r="E197" t="s">
        <v>25</v>
      </c>
      <c r="F197">
        <v>2</v>
      </c>
      <c r="G197">
        <v>2</v>
      </c>
      <c r="H197" t="s">
        <v>74</v>
      </c>
      <c r="I197" t="s">
        <v>127</v>
      </c>
      <c r="J197" t="s">
        <v>41</v>
      </c>
      <c r="K197" t="b">
        <v>1</v>
      </c>
      <c r="L197">
        <v>1994</v>
      </c>
      <c r="M197">
        <v>8902446252.1837196</v>
      </c>
      <c r="N197">
        <v>228699066874.02802</v>
      </c>
      <c r="O197">
        <v>0</v>
      </c>
    </row>
    <row r="198" spans="1:15" x14ac:dyDescent="0.3">
      <c r="A198" s="1">
        <v>471</v>
      </c>
      <c r="B198" s="2">
        <v>34504</v>
      </c>
      <c r="C198" s="2">
        <f>_xlfn.FLOOR.MATH([1]!Table1[[#This Row],[year]],10)</f>
        <v>1990</v>
      </c>
      <c r="D198" t="s">
        <v>42</v>
      </c>
      <c r="E198" t="s">
        <v>17</v>
      </c>
      <c r="F198">
        <v>1</v>
      </c>
      <c r="G198">
        <v>0</v>
      </c>
      <c r="H198" t="s">
        <v>74</v>
      </c>
      <c r="I198" t="s">
        <v>130</v>
      </c>
      <c r="J198" t="s">
        <v>41</v>
      </c>
      <c r="K198" t="b">
        <v>1</v>
      </c>
      <c r="L198">
        <v>1994</v>
      </c>
      <c r="M198">
        <v>127131319428.701</v>
      </c>
      <c r="N198">
        <v>553618247900.73999</v>
      </c>
      <c r="O198">
        <v>-1</v>
      </c>
    </row>
    <row r="199" spans="1:15" x14ac:dyDescent="0.3">
      <c r="A199" s="1">
        <v>473</v>
      </c>
      <c r="B199" s="2">
        <v>34505</v>
      </c>
      <c r="C199" s="2">
        <f>_xlfn.FLOOR.MATH([1]!Table1[[#This Row],[year]],10)</f>
        <v>1990</v>
      </c>
      <c r="D199" t="s">
        <v>27</v>
      </c>
      <c r="E199" t="s">
        <v>45</v>
      </c>
      <c r="F199">
        <v>2</v>
      </c>
      <c r="G199">
        <v>1</v>
      </c>
      <c r="H199" t="s">
        <v>74</v>
      </c>
      <c r="I199" t="s">
        <v>130</v>
      </c>
      <c r="J199" t="s">
        <v>41</v>
      </c>
      <c r="K199" t="b">
        <v>1</v>
      </c>
      <c r="L199">
        <v>1994</v>
      </c>
      <c r="M199">
        <v>379688232231.505</v>
      </c>
      <c r="N199">
        <v>135174899866.489</v>
      </c>
      <c r="O199">
        <v>1</v>
      </c>
    </row>
    <row r="200" spans="1:15" x14ac:dyDescent="0.3">
      <c r="A200" s="1">
        <v>474</v>
      </c>
      <c r="B200" s="2">
        <v>34506</v>
      </c>
      <c r="C200" s="2">
        <f>_xlfn.FLOOR.MATH([1]!Table1[[#This Row],[year]],10)</f>
        <v>1990</v>
      </c>
      <c r="D200" t="s">
        <v>19</v>
      </c>
      <c r="E200" t="s">
        <v>48</v>
      </c>
      <c r="F200">
        <v>4</v>
      </c>
      <c r="G200">
        <v>0</v>
      </c>
      <c r="H200" t="s">
        <v>74</v>
      </c>
      <c r="I200" t="s">
        <v>131</v>
      </c>
      <c r="J200" t="s">
        <v>41</v>
      </c>
      <c r="K200" t="b">
        <v>1</v>
      </c>
      <c r="L200">
        <v>1994</v>
      </c>
      <c r="M200">
        <v>257440000000</v>
      </c>
      <c r="N200">
        <v>114980063202.24699</v>
      </c>
      <c r="O200">
        <v>1</v>
      </c>
    </row>
    <row r="201" spans="1:15" x14ac:dyDescent="0.3">
      <c r="A201" s="1">
        <v>475</v>
      </c>
      <c r="B201" s="2">
        <v>34506</v>
      </c>
      <c r="C201" s="2">
        <f>_xlfn.FLOOR.MATH([1]!Table1[[#This Row],[year]],10)</f>
        <v>1990</v>
      </c>
      <c r="D201" t="s">
        <v>16</v>
      </c>
      <c r="E201" t="s">
        <v>21</v>
      </c>
      <c r="F201">
        <v>1</v>
      </c>
      <c r="G201">
        <v>1</v>
      </c>
      <c r="H201" t="s">
        <v>74</v>
      </c>
      <c r="I201" t="s">
        <v>126</v>
      </c>
      <c r="J201" t="s">
        <v>41</v>
      </c>
      <c r="K201" t="b">
        <v>1</v>
      </c>
      <c r="L201">
        <v>1994</v>
      </c>
      <c r="M201">
        <v>2215282632276.73</v>
      </c>
      <c r="N201">
        <v>530183651720.28302</v>
      </c>
      <c r="O201">
        <v>0</v>
      </c>
    </row>
    <row r="202" spans="1:15" x14ac:dyDescent="0.3">
      <c r="A202" s="1">
        <v>476</v>
      </c>
      <c r="B202" s="2">
        <v>34506</v>
      </c>
      <c r="C202" s="2">
        <f>_xlfn.FLOOR.MATH([1]!Table1[[#This Row],[year]],10)</f>
        <v>1990</v>
      </c>
      <c r="D202" t="s">
        <v>43</v>
      </c>
      <c r="E202" t="s">
        <v>33</v>
      </c>
      <c r="F202">
        <v>3</v>
      </c>
      <c r="G202">
        <v>0</v>
      </c>
      <c r="H202" t="s">
        <v>74</v>
      </c>
      <c r="I202" t="s">
        <v>132</v>
      </c>
      <c r="J202" t="s">
        <v>41</v>
      </c>
      <c r="K202" t="b">
        <v>1</v>
      </c>
      <c r="L202">
        <v>1994</v>
      </c>
      <c r="M202">
        <v>80399613063.636398</v>
      </c>
      <c r="N202">
        <v>9709240033.9897308</v>
      </c>
      <c r="O202">
        <v>1</v>
      </c>
    </row>
    <row r="203" spans="1:15" x14ac:dyDescent="0.3">
      <c r="A203" s="1">
        <v>477</v>
      </c>
      <c r="B203" s="2">
        <v>34507</v>
      </c>
      <c r="C203" s="2">
        <f>_xlfn.FLOOR.MATH([1]!Table1[[#This Row],[year]],10)</f>
        <v>1990</v>
      </c>
      <c r="D203" t="s">
        <v>44</v>
      </c>
      <c r="E203" t="s">
        <v>46</v>
      </c>
      <c r="F203">
        <v>1</v>
      </c>
      <c r="G203">
        <v>4</v>
      </c>
      <c r="H203" t="s">
        <v>74</v>
      </c>
      <c r="I203" t="s">
        <v>128</v>
      </c>
      <c r="J203" t="s">
        <v>41</v>
      </c>
      <c r="K203" t="b">
        <v>1</v>
      </c>
      <c r="L203">
        <v>1994</v>
      </c>
      <c r="M203">
        <v>30072805104.2542</v>
      </c>
      <c r="N203">
        <v>301375055202.164</v>
      </c>
      <c r="O203">
        <v>1</v>
      </c>
    </row>
    <row r="204" spans="1:15" x14ac:dyDescent="0.3">
      <c r="A204" s="1">
        <v>478</v>
      </c>
      <c r="B204" s="2">
        <v>34507</v>
      </c>
      <c r="C204" s="2">
        <f>_xlfn.FLOOR.MATH([1]!Table1[[#This Row],[year]],10)</f>
        <v>1990</v>
      </c>
      <c r="D204" t="s">
        <v>41</v>
      </c>
      <c r="E204" t="s">
        <v>15</v>
      </c>
      <c r="F204">
        <v>2</v>
      </c>
      <c r="G204">
        <v>1</v>
      </c>
      <c r="H204" t="s">
        <v>74</v>
      </c>
      <c r="I204" t="s">
        <v>127</v>
      </c>
      <c r="J204" t="s">
        <v>41</v>
      </c>
      <c r="K204" t="b">
        <v>0</v>
      </c>
      <c r="L204">
        <v>1994</v>
      </c>
      <c r="M204">
        <v>7287236000000</v>
      </c>
      <c r="N204">
        <v>81703500846.036407</v>
      </c>
      <c r="O204">
        <v>1</v>
      </c>
    </row>
    <row r="205" spans="1:15" x14ac:dyDescent="0.3">
      <c r="A205" s="1">
        <v>479</v>
      </c>
      <c r="B205" s="2">
        <v>34508</v>
      </c>
      <c r="C205" s="2">
        <f>_xlfn.FLOOR.MATH([1]!Table1[[#This Row],[year]],10)</f>
        <v>1990</v>
      </c>
      <c r="D205" t="s">
        <v>18</v>
      </c>
      <c r="E205" t="s">
        <v>42</v>
      </c>
      <c r="F205">
        <v>1</v>
      </c>
      <c r="G205">
        <v>0</v>
      </c>
      <c r="H205" t="s">
        <v>74</v>
      </c>
      <c r="I205" t="s">
        <v>133</v>
      </c>
      <c r="J205" t="s">
        <v>41</v>
      </c>
      <c r="K205" t="b">
        <v>1</v>
      </c>
      <c r="L205">
        <v>1994</v>
      </c>
      <c r="M205">
        <v>1101750159702.21</v>
      </c>
      <c r="N205">
        <v>127131319428.701</v>
      </c>
      <c r="O205">
        <v>1</v>
      </c>
    </row>
    <row r="206" spans="1:15" x14ac:dyDescent="0.3">
      <c r="A206" s="1">
        <v>481</v>
      </c>
      <c r="B206" s="2">
        <v>34509</v>
      </c>
      <c r="C206" s="2">
        <f>_xlfn.FLOOR.MATH([1]!Table1[[#This Row],[year]],10)</f>
        <v>1990</v>
      </c>
      <c r="D206" t="s">
        <v>13</v>
      </c>
      <c r="E206" t="s">
        <v>40</v>
      </c>
      <c r="F206">
        <v>3</v>
      </c>
      <c r="G206">
        <v>0</v>
      </c>
      <c r="H206" t="s">
        <v>74</v>
      </c>
      <c r="I206" t="s">
        <v>134</v>
      </c>
      <c r="J206" t="s">
        <v>41</v>
      </c>
      <c r="K206" t="b">
        <v>1</v>
      </c>
      <c r="L206">
        <v>1994</v>
      </c>
      <c r="M206">
        <v>525369851353.742</v>
      </c>
      <c r="N206">
        <v>8902446252.1837196</v>
      </c>
      <c r="O206">
        <v>1</v>
      </c>
    </row>
    <row r="207" spans="1:15" x14ac:dyDescent="0.3">
      <c r="A207" s="1">
        <v>484</v>
      </c>
      <c r="B207" s="2">
        <v>34510</v>
      </c>
      <c r="C207" s="2">
        <f>_xlfn.FLOOR.MATH([1]!Table1[[#This Row],[year]],10)</f>
        <v>1990</v>
      </c>
      <c r="D207" t="s">
        <v>19</v>
      </c>
      <c r="E207" t="s">
        <v>43</v>
      </c>
      <c r="F207">
        <v>2</v>
      </c>
      <c r="G207">
        <v>1</v>
      </c>
      <c r="H207" t="s">
        <v>74</v>
      </c>
      <c r="I207" t="s">
        <v>131</v>
      </c>
      <c r="J207" t="s">
        <v>41</v>
      </c>
      <c r="K207" t="b">
        <v>1</v>
      </c>
      <c r="L207">
        <v>1994</v>
      </c>
      <c r="M207">
        <v>257440000000</v>
      </c>
      <c r="N207">
        <v>80399613063.636398</v>
      </c>
      <c r="O207">
        <v>1</v>
      </c>
    </row>
    <row r="208" spans="1:15" x14ac:dyDescent="0.3">
      <c r="A208" s="1">
        <v>485</v>
      </c>
      <c r="B208" s="2">
        <v>34510</v>
      </c>
      <c r="C208" s="2">
        <f>_xlfn.FLOOR.MATH([1]!Table1[[#This Row],[year]],10)</f>
        <v>1990</v>
      </c>
      <c r="D208" t="s">
        <v>23</v>
      </c>
      <c r="E208" t="s">
        <v>27</v>
      </c>
      <c r="F208">
        <v>1</v>
      </c>
      <c r="G208">
        <v>0</v>
      </c>
      <c r="H208" t="s">
        <v>74</v>
      </c>
      <c r="I208" t="s">
        <v>129</v>
      </c>
      <c r="J208" t="s">
        <v>41</v>
      </c>
      <c r="K208" t="b">
        <v>1</v>
      </c>
      <c r="L208">
        <v>1994</v>
      </c>
      <c r="M208">
        <v>244884129491.198</v>
      </c>
      <c r="N208">
        <v>379688232231.505</v>
      </c>
      <c r="O208">
        <v>-1</v>
      </c>
    </row>
    <row r="209" spans="1:15" x14ac:dyDescent="0.3">
      <c r="A209" s="1">
        <v>486</v>
      </c>
      <c r="B209" s="2">
        <v>34510</v>
      </c>
      <c r="C209" s="2">
        <f>_xlfn.FLOOR.MATH([1]!Table1[[#This Row],[year]],10)</f>
        <v>1990</v>
      </c>
      <c r="D209" t="s">
        <v>45</v>
      </c>
      <c r="E209" t="s">
        <v>24</v>
      </c>
      <c r="F209">
        <v>2</v>
      </c>
      <c r="G209">
        <v>1</v>
      </c>
      <c r="H209" t="s">
        <v>74</v>
      </c>
      <c r="I209" t="s">
        <v>133</v>
      </c>
      <c r="J209" t="s">
        <v>41</v>
      </c>
      <c r="K209" t="b">
        <v>1</v>
      </c>
      <c r="L209">
        <v>1994</v>
      </c>
      <c r="M209">
        <v>135174899866.489</v>
      </c>
      <c r="N209">
        <v>35604137422.579597</v>
      </c>
      <c r="O209">
        <v>1</v>
      </c>
    </row>
    <row r="210" spans="1:15" x14ac:dyDescent="0.3">
      <c r="A210" s="1">
        <v>487</v>
      </c>
      <c r="B210" s="2">
        <v>34511</v>
      </c>
      <c r="C210" s="2">
        <f>_xlfn.FLOOR.MATH([1]!Table1[[#This Row],[year]],10)</f>
        <v>1990</v>
      </c>
      <c r="D210" t="s">
        <v>33</v>
      </c>
      <c r="E210" t="s">
        <v>48</v>
      </c>
      <c r="F210">
        <v>4</v>
      </c>
      <c r="G210">
        <v>0</v>
      </c>
      <c r="H210" t="s">
        <v>74</v>
      </c>
      <c r="I210" t="s">
        <v>126</v>
      </c>
      <c r="J210" t="s">
        <v>41</v>
      </c>
      <c r="K210" t="b">
        <v>1</v>
      </c>
      <c r="L210">
        <v>1994</v>
      </c>
      <c r="M210">
        <v>9709240033.9897308</v>
      </c>
      <c r="N210">
        <v>114980063202.24699</v>
      </c>
      <c r="O210">
        <v>-1</v>
      </c>
    </row>
    <row r="211" spans="1:15" x14ac:dyDescent="0.3">
      <c r="A211" s="1">
        <v>488</v>
      </c>
      <c r="B211" s="2">
        <v>34511</v>
      </c>
      <c r="C211" s="2">
        <f>_xlfn.FLOOR.MATH([1]!Table1[[#This Row],[year]],10)</f>
        <v>1990</v>
      </c>
      <c r="D211" t="s">
        <v>46</v>
      </c>
      <c r="E211" t="s">
        <v>15</v>
      </c>
      <c r="F211">
        <v>0</v>
      </c>
      <c r="G211">
        <v>2</v>
      </c>
      <c r="H211" t="s">
        <v>74</v>
      </c>
      <c r="I211" t="s">
        <v>134</v>
      </c>
      <c r="J211" t="s">
        <v>41</v>
      </c>
      <c r="K211" t="b">
        <v>1</v>
      </c>
      <c r="L211">
        <v>1994</v>
      </c>
      <c r="M211">
        <v>301375055202.164</v>
      </c>
      <c r="N211">
        <v>81703500846.036407</v>
      </c>
      <c r="O211">
        <v>-1</v>
      </c>
    </row>
    <row r="212" spans="1:15" x14ac:dyDescent="0.3">
      <c r="A212" s="1">
        <v>489</v>
      </c>
      <c r="B212" s="2">
        <v>34511</v>
      </c>
      <c r="C212" s="2">
        <f>_xlfn.FLOOR.MATH([1]!Table1[[#This Row],[year]],10)</f>
        <v>1990</v>
      </c>
      <c r="D212" t="s">
        <v>41</v>
      </c>
      <c r="E212" t="s">
        <v>44</v>
      </c>
      <c r="F212">
        <v>0</v>
      </c>
      <c r="G212">
        <v>1</v>
      </c>
      <c r="H212" t="s">
        <v>74</v>
      </c>
      <c r="I212" t="s">
        <v>127</v>
      </c>
      <c r="J212" t="s">
        <v>41</v>
      </c>
      <c r="K212" t="b">
        <v>0</v>
      </c>
      <c r="L212">
        <v>1994</v>
      </c>
      <c r="M212">
        <v>7287236000000</v>
      </c>
      <c r="N212">
        <v>30072805104.2542</v>
      </c>
      <c r="O212">
        <v>-1</v>
      </c>
    </row>
    <row r="213" spans="1:15" x14ac:dyDescent="0.3">
      <c r="A213" s="1">
        <v>490</v>
      </c>
      <c r="B213" s="2">
        <v>34512</v>
      </c>
      <c r="C213" s="2">
        <f>_xlfn.FLOOR.MATH([1]!Table1[[#This Row],[year]],10)</f>
        <v>1990</v>
      </c>
      <c r="D213" t="s">
        <v>47</v>
      </c>
      <c r="E213" t="s">
        <v>21</v>
      </c>
      <c r="F213">
        <v>1</v>
      </c>
      <c r="G213">
        <v>3</v>
      </c>
      <c r="H213" t="s">
        <v>74</v>
      </c>
      <c r="I213" t="s">
        <v>126</v>
      </c>
      <c r="J213" t="s">
        <v>41</v>
      </c>
      <c r="K213" t="b">
        <v>1</v>
      </c>
      <c r="L213">
        <v>1994</v>
      </c>
      <c r="M213">
        <v>5981222858.8272696</v>
      </c>
      <c r="N213">
        <v>530183651720.28302</v>
      </c>
      <c r="O213">
        <v>1</v>
      </c>
    </row>
    <row r="214" spans="1:15" x14ac:dyDescent="0.3">
      <c r="A214" s="1">
        <v>492</v>
      </c>
      <c r="B214" s="2">
        <v>34513</v>
      </c>
      <c r="C214" s="2">
        <f>_xlfn.FLOOR.MATH([1]!Table1[[#This Row],[year]],10)</f>
        <v>1990</v>
      </c>
      <c r="D214" t="s">
        <v>13</v>
      </c>
      <c r="E214" t="s">
        <v>25</v>
      </c>
      <c r="F214">
        <v>1</v>
      </c>
      <c r="G214">
        <v>1</v>
      </c>
      <c r="H214" t="s">
        <v>74</v>
      </c>
      <c r="I214" t="s">
        <v>128</v>
      </c>
      <c r="J214" t="s">
        <v>41</v>
      </c>
      <c r="K214" t="b">
        <v>1</v>
      </c>
      <c r="L214">
        <v>1994</v>
      </c>
      <c r="M214">
        <v>525369851353.742</v>
      </c>
      <c r="N214">
        <v>228699066874.02802</v>
      </c>
      <c r="O214">
        <v>0</v>
      </c>
    </row>
    <row r="215" spans="1:15" x14ac:dyDescent="0.3">
      <c r="A215" s="1">
        <v>494</v>
      </c>
      <c r="B215" s="2">
        <v>34513</v>
      </c>
      <c r="C215" s="2">
        <f>_xlfn.FLOOR.MATH([1]!Table1[[#This Row],[year]],10)</f>
        <v>1990</v>
      </c>
      <c r="D215" t="s">
        <v>18</v>
      </c>
      <c r="E215" t="s">
        <v>17</v>
      </c>
      <c r="F215">
        <v>1</v>
      </c>
      <c r="G215">
        <v>1</v>
      </c>
      <c r="H215" t="s">
        <v>74</v>
      </c>
      <c r="I215" t="s">
        <v>130</v>
      </c>
      <c r="J215" t="s">
        <v>41</v>
      </c>
      <c r="K215" t="b">
        <v>1</v>
      </c>
      <c r="L215">
        <v>1994</v>
      </c>
      <c r="M215">
        <v>1101750159702.21</v>
      </c>
      <c r="N215">
        <v>553618247900.73999</v>
      </c>
      <c r="O215">
        <v>0</v>
      </c>
    </row>
    <row r="216" spans="1:15" x14ac:dyDescent="0.3">
      <c r="A216" s="1">
        <v>496</v>
      </c>
      <c r="B216" s="2">
        <v>34514</v>
      </c>
      <c r="C216" s="2">
        <f>_xlfn.FLOOR.MATH([1]!Table1[[#This Row],[year]],10)</f>
        <v>1990</v>
      </c>
      <c r="D216" t="s">
        <v>23</v>
      </c>
      <c r="E216" t="s">
        <v>45</v>
      </c>
      <c r="F216">
        <v>0</v>
      </c>
      <c r="G216">
        <v>1</v>
      </c>
      <c r="H216" t="s">
        <v>74</v>
      </c>
      <c r="I216" t="s">
        <v>130</v>
      </c>
      <c r="J216" t="s">
        <v>41</v>
      </c>
      <c r="K216" t="b">
        <v>1</v>
      </c>
      <c r="L216">
        <v>1994</v>
      </c>
      <c r="M216">
        <v>244884129491.198</v>
      </c>
      <c r="N216">
        <v>135174899866.489</v>
      </c>
      <c r="O216">
        <v>-1</v>
      </c>
    </row>
    <row r="217" spans="1:15" x14ac:dyDescent="0.3">
      <c r="A217" s="1">
        <v>497</v>
      </c>
      <c r="B217" s="2">
        <v>34514</v>
      </c>
      <c r="C217" s="2">
        <f>_xlfn.FLOOR.MATH([1]!Table1[[#This Row],[year]],10)</f>
        <v>1990</v>
      </c>
      <c r="D217" t="s">
        <v>24</v>
      </c>
      <c r="E217" t="s">
        <v>27</v>
      </c>
      <c r="F217">
        <v>1</v>
      </c>
      <c r="G217">
        <v>2</v>
      </c>
      <c r="H217" t="s">
        <v>74</v>
      </c>
      <c r="I217" t="s">
        <v>129</v>
      </c>
      <c r="J217" t="s">
        <v>41</v>
      </c>
      <c r="K217" t="b">
        <v>1</v>
      </c>
      <c r="L217">
        <v>1994</v>
      </c>
      <c r="M217">
        <v>35604137422.579597</v>
      </c>
      <c r="N217">
        <v>379688232231.505</v>
      </c>
      <c r="O217">
        <v>1</v>
      </c>
    </row>
    <row r="218" spans="1:15" x14ac:dyDescent="0.3">
      <c r="A218" s="1">
        <v>498</v>
      </c>
      <c r="B218" s="2">
        <v>34515</v>
      </c>
      <c r="C218" s="2">
        <f>_xlfn.FLOOR.MATH([1]!Table1[[#This Row],[year]],10)</f>
        <v>1990</v>
      </c>
      <c r="D218" t="s">
        <v>19</v>
      </c>
      <c r="E218" t="s">
        <v>33</v>
      </c>
      <c r="F218">
        <v>0</v>
      </c>
      <c r="G218">
        <v>2</v>
      </c>
      <c r="H218" t="s">
        <v>74</v>
      </c>
      <c r="I218" t="s">
        <v>132</v>
      </c>
      <c r="J218" t="s">
        <v>41</v>
      </c>
      <c r="K218" t="b">
        <v>1</v>
      </c>
      <c r="L218">
        <v>1994</v>
      </c>
      <c r="M218">
        <v>257440000000</v>
      </c>
      <c r="N218">
        <v>9709240033.9897308</v>
      </c>
      <c r="O218">
        <v>-1</v>
      </c>
    </row>
    <row r="219" spans="1:15" x14ac:dyDescent="0.3">
      <c r="A219" s="1">
        <v>499</v>
      </c>
      <c r="B219" s="2">
        <v>34515</v>
      </c>
      <c r="C219" s="2">
        <f>_xlfn.FLOOR.MATH([1]!Table1[[#This Row],[year]],10)</f>
        <v>1990</v>
      </c>
      <c r="D219" t="s">
        <v>48</v>
      </c>
      <c r="E219" t="s">
        <v>43</v>
      </c>
      <c r="F219">
        <v>0</v>
      </c>
      <c r="G219">
        <v>2</v>
      </c>
      <c r="H219" t="s">
        <v>74</v>
      </c>
      <c r="I219" t="s">
        <v>131</v>
      </c>
      <c r="J219" t="s">
        <v>41</v>
      </c>
      <c r="K219" t="b">
        <v>1</v>
      </c>
      <c r="L219">
        <v>1994</v>
      </c>
      <c r="M219">
        <v>114980063202.24699</v>
      </c>
      <c r="N219">
        <v>80399613063.636398</v>
      </c>
      <c r="O219">
        <v>-1</v>
      </c>
    </row>
    <row r="220" spans="1:15" x14ac:dyDescent="0.3">
      <c r="A220" s="1">
        <v>500</v>
      </c>
      <c r="B220" s="2">
        <v>34517</v>
      </c>
      <c r="C220" s="2">
        <f>_xlfn.FLOOR.MATH([1]!Table1[[#This Row],[year]],10)</f>
        <v>1990</v>
      </c>
      <c r="D220" t="s">
        <v>16</v>
      </c>
      <c r="E220" t="s">
        <v>23</v>
      </c>
      <c r="F220">
        <v>3</v>
      </c>
      <c r="G220">
        <v>2</v>
      </c>
      <c r="H220" t="s">
        <v>74</v>
      </c>
      <c r="I220" t="s">
        <v>126</v>
      </c>
      <c r="J220" t="s">
        <v>41</v>
      </c>
      <c r="K220" t="b">
        <v>1</v>
      </c>
      <c r="L220">
        <v>1994</v>
      </c>
      <c r="M220">
        <v>2215282632276.73</v>
      </c>
      <c r="N220">
        <v>244884129491.198</v>
      </c>
      <c r="O220">
        <v>1</v>
      </c>
    </row>
    <row r="221" spans="1:15" x14ac:dyDescent="0.3">
      <c r="A221" s="1">
        <v>501</v>
      </c>
      <c r="B221" s="2">
        <v>34517</v>
      </c>
      <c r="C221" s="2">
        <f>_xlfn.FLOOR.MATH([1]!Table1[[#This Row],[year]],10)</f>
        <v>1990</v>
      </c>
      <c r="D221" t="s">
        <v>21</v>
      </c>
      <c r="E221" t="s">
        <v>46</v>
      </c>
      <c r="F221">
        <v>3</v>
      </c>
      <c r="G221">
        <v>0</v>
      </c>
      <c r="H221" t="s">
        <v>74</v>
      </c>
      <c r="I221" t="s">
        <v>130</v>
      </c>
      <c r="J221" t="s">
        <v>41</v>
      </c>
      <c r="K221" t="b">
        <v>1</v>
      </c>
      <c r="L221">
        <v>1994</v>
      </c>
      <c r="M221">
        <v>530183651720.28302</v>
      </c>
      <c r="N221">
        <v>301375055202.164</v>
      </c>
      <c r="O221">
        <v>1</v>
      </c>
    </row>
    <row r="222" spans="1:15" x14ac:dyDescent="0.3">
      <c r="A222" s="1">
        <v>502</v>
      </c>
      <c r="B222" s="2">
        <v>34518</v>
      </c>
      <c r="C222" s="2">
        <f>_xlfn.FLOOR.MATH([1]!Table1[[#This Row],[year]],10)</f>
        <v>1990</v>
      </c>
      <c r="D222" t="s">
        <v>44</v>
      </c>
      <c r="E222" t="s">
        <v>19</v>
      </c>
      <c r="F222">
        <v>3</v>
      </c>
      <c r="G222">
        <v>2</v>
      </c>
      <c r="H222" t="s">
        <v>74</v>
      </c>
      <c r="I222" t="s">
        <v>127</v>
      </c>
      <c r="J222" t="s">
        <v>41</v>
      </c>
      <c r="K222" t="b">
        <v>1</v>
      </c>
      <c r="L222">
        <v>1994</v>
      </c>
      <c r="M222">
        <v>30072805104.2542</v>
      </c>
      <c r="N222">
        <v>257440000000</v>
      </c>
      <c r="O222">
        <v>-1</v>
      </c>
    </row>
    <row r="223" spans="1:15" x14ac:dyDescent="0.3">
      <c r="A223" s="1">
        <v>503</v>
      </c>
      <c r="B223" s="2">
        <v>34518</v>
      </c>
      <c r="C223" s="2">
        <f>_xlfn.FLOOR.MATH([1]!Table1[[#This Row],[year]],10)</f>
        <v>1990</v>
      </c>
      <c r="D223" t="s">
        <v>45</v>
      </c>
      <c r="E223" t="s">
        <v>25</v>
      </c>
      <c r="F223">
        <v>1</v>
      </c>
      <c r="G223">
        <v>3</v>
      </c>
      <c r="H223" t="s">
        <v>74</v>
      </c>
      <c r="I223" t="s">
        <v>132</v>
      </c>
      <c r="J223" t="s">
        <v>41</v>
      </c>
      <c r="K223" t="b">
        <v>1</v>
      </c>
      <c r="L223">
        <v>1994</v>
      </c>
      <c r="M223">
        <v>135174899866.489</v>
      </c>
      <c r="N223">
        <v>228699066874.02802</v>
      </c>
      <c r="O223">
        <v>1</v>
      </c>
    </row>
    <row r="224" spans="1:15" x14ac:dyDescent="0.3">
      <c r="A224" s="1">
        <v>505</v>
      </c>
      <c r="B224" s="2">
        <v>34519</v>
      </c>
      <c r="C224" s="2">
        <f>_xlfn.FLOOR.MATH([1]!Table1[[#This Row],[year]],10)</f>
        <v>1990</v>
      </c>
      <c r="D224" t="s">
        <v>41</v>
      </c>
      <c r="E224" t="s">
        <v>13</v>
      </c>
      <c r="F224">
        <v>0</v>
      </c>
      <c r="G224">
        <v>1</v>
      </c>
      <c r="H224" t="s">
        <v>74</v>
      </c>
      <c r="I224" t="s">
        <v>134</v>
      </c>
      <c r="J224" t="s">
        <v>41</v>
      </c>
      <c r="K224" t="b">
        <v>0</v>
      </c>
      <c r="L224">
        <v>1994</v>
      </c>
      <c r="M224">
        <v>7287236000000</v>
      </c>
      <c r="N224">
        <v>525369851353.742</v>
      </c>
      <c r="O224">
        <v>-1</v>
      </c>
    </row>
    <row r="225" spans="1:15" x14ac:dyDescent="0.3">
      <c r="A225" s="1">
        <v>506</v>
      </c>
      <c r="B225" s="2">
        <v>34520</v>
      </c>
      <c r="C225" s="2">
        <f>_xlfn.FLOOR.MATH([1]!Table1[[#This Row],[year]],10)</f>
        <v>1990</v>
      </c>
      <c r="D225" t="s">
        <v>17</v>
      </c>
      <c r="E225" t="s">
        <v>33</v>
      </c>
      <c r="F225">
        <v>1</v>
      </c>
      <c r="G225">
        <v>1</v>
      </c>
      <c r="H225" t="s">
        <v>74</v>
      </c>
      <c r="I225" t="s">
        <v>133</v>
      </c>
      <c r="J225" t="s">
        <v>41</v>
      </c>
      <c r="K225" t="b">
        <v>1</v>
      </c>
      <c r="L225">
        <v>1994</v>
      </c>
      <c r="M225">
        <v>553618247900.73999</v>
      </c>
      <c r="N225">
        <v>9709240033.9897308</v>
      </c>
      <c r="O225">
        <v>0</v>
      </c>
    </row>
    <row r="226" spans="1:15" x14ac:dyDescent="0.3">
      <c r="A226" s="1">
        <v>507</v>
      </c>
      <c r="B226" s="2">
        <v>34520</v>
      </c>
      <c r="C226" s="2">
        <f>_xlfn.FLOOR.MATH([1]!Table1[[#This Row],[year]],10)</f>
        <v>1990</v>
      </c>
      <c r="D226" t="s">
        <v>43</v>
      </c>
      <c r="E226" t="s">
        <v>18</v>
      </c>
      <c r="F226">
        <v>1</v>
      </c>
      <c r="G226">
        <v>2</v>
      </c>
      <c r="H226" t="s">
        <v>74</v>
      </c>
      <c r="I226" t="s">
        <v>131</v>
      </c>
      <c r="J226" t="s">
        <v>41</v>
      </c>
      <c r="K226" t="b">
        <v>1</v>
      </c>
      <c r="L226">
        <v>1994</v>
      </c>
      <c r="M226">
        <v>80399613063.636398</v>
      </c>
      <c r="N226">
        <v>1101750159702.21</v>
      </c>
      <c r="O226">
        <v>1</v>
      </c>
    </row>
    <row r="227" spans="1:15" x14ac:dyDescent="0.3">
      <c r="A227" s="1">
        <v>508</v>
      </c>
      <c r="B227" s="2">
        <v>34524</v>
      </c>
      <c r="C227" s="2">
        <f>_xlfn.FLOOR.MATH([1]!Table1[[#This Row],[year]],10)</f>
        <v>1990</v>
      </c>
      <c r="D227" t="s">
        <v>18</v>
      </c>
      <c r="E227" t="s">
        <v>21</v>
      </c>
      <c r="F227">
        <v>2</v>
      </c>
      <c r="G227">
        <v>1</v>
      </c>
      <c r="H227" t="s">
        <v>74</v>
      </c>
      <c r="I227" t="s">
        <v>131</v>
      </c>
      <c r="J227" t="s">
        <v>41</v>
      </c>
      <c r="K227" t="b">
        <v>1</v>
      </c>
      <c r="L227">
        <v>1994</v>
      </c>
      <c r="M227">
        <v>1101750159702.21</v>
      </c>
      <c r="N227">
        <v>530183651720.28302</v>
      </c>
      <c r="O227">
        <v>1</v>
      </c>
    </row>
    <row r="228" spans="1:15" x14ac:dyDescent="0.3">
      <c r="A228" s="1">
        <v>509</v>
      </c>
      <c r="B228" s="2">
        <v>34524</v>
      </c>
      <c r="C228" s="2">
        <f>_xlfn.FLOOR.MATH([1]!Table1[[#This Row],[year]],10)</f>
        <v>1990</v>
      </c>
      <c r="D228" t="s">
        <v>27</v>
      </c>
      <c r="E228" t="s">
        <v>13</v>
      </c>
      <c r="F228">
        <v>2</v>
      </c>
      <c r="G228">
        <v>3</v>
      </c>
      <c r="H228" t="s">
        <v>74</v>
      </c>
      <c r="I228" t="s">
        <v>132</v>
      </c>
      <c r="J228" t="s">
        <v>41</v>
      </c>
      <c r="K228" t="b">
        <v>1</v>
      </c>
      <c r="L228">
        <v>1994</v>
      </c>
      <c r="M228">
        <v>379688232231.505</v>
      </c>
      <c r="N228">
        <v>525369851353.742</v>
      </c>
      <c r="O228">
        <v>1</v>
      </c>
    </row>
    <row r="229" spans="1:15" x14ac:dyDescent="0.3">
      <c r="A229" s="1">
        <v>510</v>
      </c>
      <c r="B229" s="2">
        <v>34525</v>
      </c>
      <c r="C229" s="2">
        <f>_xlfn.FLOOR.MATH([1]!Table1[[#This Row],[year]],10)</f>
        <v>1990</v>
      </c>
      <c r="D229" t="s">
        <v>33</v>
      </c>
      <c r="E229" t="s">
        <v>16</v>
      </c>
      <c r="F229">
        <v>2</v>
      </c>
      <c r="G229">
        <v>1</v>
      </c>
      <c r="H229" t="s">
        <v>74</v>
      </c>
      <c r="I229" t="s">
        <v>133</v>
      </c>
      <c r="J229" t="s">
        <v>41</v>
      </c>
      <c r="K229" t="b">
        <v>1</v>
      </c>
      <c r="L229">
        <v>1994</v>
      </c>
      <c r="M229">
        <v>9709240033.9897308</v>
      </c>
      <c r="N229">
        <v>2215282632276.73</v>
      </c>
      <c r="O229">
        <v>-1</v>
      </c>
    </row>
    <row r="230" spans="1:15" x14ac:dyDescent="0.3">
      <c r="A230" s="1">
        <v>511</v>
      </c>
      <c r="B230" s="2">
        <v>34525</v>
      </c>
      <c r="C230" s="2">
        <f>_xlfn.FLOOR.MATH([1]!Table1[[#This Row],[year]],10)</f>
        <v>1990</v>
      </c>
      <c r="D230" t="s">
        <v>44</v>
      </c>
      <c r="E230" t="s">
        <v>25</v>
      </c>
      <c r="F230">
        <v>2</v>
      </c>
      <c r="G230">
        <v>2</v>
      </c>
      <c r="H230" t="s">
        <v>74</v>
      </c>
      <c r="I230" t="s">
        <v>134</v>
      </c>
      <c r="J230" t="s">
        <v>41</v>
      </c>
      <c r="K230" t="b">
        <v>1</v>
      </c>
      <c r="L230">
        <v>1994</v>
      </c>
      <c r="M230">
        <v>30072805104.2542</v>
      </c>
      <c r="N230">
        <v>228699066874.02802</v>
      </c>
      <c r="O230">
        <v>0</v>
      </c>
    </row>
    <row r="231" spans="1:15" x14ac:dyDescent="0.3">
      <c r="A231" s="1">
        <v>512</v>
      </c>
      <c r="B231" s="2">
        <v>34528</v>
      </c>
      <c r="C231" s="2">
        <f>_xlfn.FLOOR.MATH([1]!Table1[[#This Row],[year]],10)</f>
        <v>1990</v>
      </c>
      <c r="D231" t="s">
        <v>33</v>
      </c>
      <c r="E231" t="s">
        <v>18</v>
      </c>
      <c r="F231">
        <v>1</v>
      </c>
      <c r="G231">
        <v>2</v>
      </c>
      <c r="H231" t="s">
        <v>74</v>
      </c>
      <c r="I231" t="s">
        <v>133</v>
      </c>
      <c r="J231" t="s">
        <v>41</v>
      </c>
      <c r="K231" t="b">
        <v>1</v>
      </c>
      <c r="L231">
        <v>1994</v>
      </c>
      <c r="M231">
        <v>9709240033.9897308</v>
      </c>
      <c r="N231">
        <v>1101750159702.21</v>
      </c>
      <c r="O231">
        <v>1</v>
      </c>
    </row>
    <row r="232" spans="1:15" x14ac:dyDescent="0.3">
      <c r="A232" s="1">
        <v>513</v>
      </c>
      <c r="B232" s="2">
        <v>34528</v>
      </c>
      <c r="C232" s="2">
        <f>_xlfn.FLOOR.MATH([1]!Table1[[#This Row],[year]],10)</f>
        <v>1990</v>
      </c>
      <c r="D232" t="s">
        <v>25</v>
      </c>
      <c r="E232" t="s">
        <v>13</v>
      </c>
      <c r="F232">
        <v>0</v>
      </c>
      <c r="G232">
        <v>1</v>
      </c>
      <c r="H232" t="s">
        <v>74</v>
      </c>
      <c r="I232" t="s">
        <v>127</v>
      </c>
      <c r="J232" t="s">
        <v>41</v>
      </c>
      <c r="K232" t="b">
        <v>1</v>
      </c>
      <c r="L232">
        <v>1994</v>
      </c>
      <c r="M232">
        <v>228699066874.02802</v>
      </c>
      <c r="N232">
        <v>525369851353.742</v>
      </c>
      <c r="O232">
        <v>1</v>
      </c>
    </row>
    <row r="233" spans="1:15" x14ac:dyDescent="0.3">
      <c r="A233" s="1">
        <v>514</v>
      </c>
      <c r="B233" s="2">
        <v>34531</v>
      </c>
      <c r="C233" s="2">
        <f>_xlfn.FLOOR.MATH([1]!Table1[[#This Row],[year]],10)</f>
        <v>1990</v>
      </c>
      <c r="D233" t="s">
        <v>25</v>
      </c>
      <c r="E233" t="s">
        <v>33</v>
      </c>
      <c r="F233">
        <v>4</v>
      </c>
      <c r="G233">
        <v>0</v>
      </c>
      <c r="H233" t="s">
        <v>74</v>
      </c>
      <c r="I233" t="s">
        <v>127</v>
      </c>
      <c r="J233" t="s">
        <v>41</v>
      </c>
      <c r="K233" t="b">
        <v>1</v>
      </c>
      <c r="L233">
        <v>1994</v>
      </c>
      <c r="M233">
        <v>228699066874.02802</v>
      </c>
      <c r="N233">
        <v>9709240033.9897308</v>
      </c>
      <c r="O233">
        <v>1</v>
      </c>
    </row>
    <row r="234" spans="1:15" x14ac:dyDescent="0.3">
      <c r="A234" s="1">
        <v>515</v>
      </c>
      <c r="B234" s="2">
        <v>34532</v>
      </c>
      <c r="C234" s="2">
        <f>_xlfn.FLOOR.MATH([1]!Table1[[#This Row],[year]],10)</f>
        <v>1990</v>
      </c>
      <c r="D234" t="s">
        <v>13</v>
      </c>
      <c r="E234" t="s">
        <v>18</v>
      </c>
      <c r="F234">
        <v>0</v>
      </c>
      <c r="G234">
        <v>0</v>
      </c>
      <c r="H234" t="s">
        <v>74</v>
      </c>
      <c r="I234" t="s">
        <v>127</v>
      </c>
      <c r="J234" t="s">
        <v>41</v>
      </c>
      <c r="K234" t="b">
        <v>1</v>
      </c>
      <c r="L234">
        <v>1994</v>
      </c>
      <c r="M234">
        <v>525369851353.742</v>
      </c>
      <c r="N234">
        <v>1101750159702.21</v>
      </c>
      <c r="O234">
        <v>0</v>
      </c>
    </row>
    <row r="235" spans="1:15" x14ac:dyDescent="0.3">
      <c r="A235" s="1">
        <v>517</v>
      </c>
      <c r="B235" s="2">
        <v>35956</v>
      </c>
      <c r="C235" s="2">
        <f>_xlfn.FLOOR.MATH([1]!Table1[[#This Row],[year]],10)</f>
        <v>1990</v>
      </c>
      <c r="D235" t="s">
        <v>24</v>
      </c>
      <c r="E235" t="s">
        <v>42</v>
      </c>
      <c r="F235">
        <v>2</v>
      </c>
      <c r="G235">
        <v>2</v>
      </c>
      <c r="H235" t="s">
        <v>74</v>
      </c>
      <c r="I235" t="s">
        <v>135</v>
      </c>
      <c r="J235" t="s">
        <v>20</v>
      </c>
      <c r="K235" t="b">
        <v>1</v>
      </c>
      <c r="L235">
        <v>1998</v>
      </c>
      <c r="M235">
        <v>46497608724.986504</v>
      </c>
      <c r="N235">
        <v>154230295158.44699</v>
      </c>
      <c r="O235">
        <v>0</v>
      </c>
    </row>
    <row r="236" spans="1:15" x14ac:dyDescent="0.3">
      <c r="A236" s="1">
        <v>518</v>
      </c>
      <c r="B236" s="2">
        <v>35957</v>
      </c>
      <c r="C236" s="2">
        <f>_xlfn.FLOOR.MATH([1]!Table1[[#This Row],[year]],10)</f>
        <v>1990</v>
      </c>
      <c r="D236" t="s">
        <v>40</v>
      </c>
      <c r="E236" t="s">
        <v>29</v>
      </c>
      <c r="F236">
        <v>1</v>
      </c>
      <c r="G236">
        <v>1</v>
      </c>
      <c r="H236" t="s">
        <v>74</v>
      </c>
      <c r="I236" t="s">
        <v>136</v>
      </c>
      <c r="J236" t="s">
        <v>20</v>
      </c>
      <c r="K236" t="b">
        <v>1</v>
      </c>
      <c r="L236">
        <v>1998</v>
      </c>
      <c r="M236">
        <v>11298144990.4104</v>
      </c>
      <c r="N236">
        <v>217068085815.918</v>
      </c>
      <c r="O236">
        <v>0</v>
      </c>
    </row>
    <row r="237" spans="1:15" x14ac:dyDescent="0.3">
      <c r="A237" s="1">
        <v>519</v>
      </c>
      <c r="B237" s="2">
        <v>35957</v>
      </c>
      <c r="C237" s="2">
        <f>_xlfn.FLOOR.MATH([1]!Table1[[#This Row],[year]],10)</f>
        <v>1990</v>
      </c>
      <c r="D237" t="s">
        <v>18</v>
      </c>
      <c r="E237" t="s">
        <v>14</v>
      </c>
      <c r="F237">
        <v>2</v>
      </c>
      <c r="G237">
        <v>2</v>
      </c>
      <c r="H237" t="s">
        <v>74</v>
      </c>
      <c r="I237" t="s">
        <v>137</v>
      </c>
      <c r="J237" t="s">
        <v>20</v>
      </c>
      <c r="K237" t="b">
        <v>1</v>
      </c>
      <c r="L237">
        <v>1998</v>
      </c>
      <c r="M237">
        <v>1272729786996.77</v>
      </c>
      <c r="N237">
        <v>81990010704.060196</v>
      </c>
      <c r="O237">
        <v>0</v>
      </c>
    </row>
    <row r="238" spans="1:15" x14ac:dyDescent="0.3">
      <c r="A238" s="1">
        <v>520</v>
      </c>
      <c r="B238" s="2">
        <v>35958</v>
      </c>
      <c r="C238" s="2">
        <f>_xlfn.FLOOR.MATH([1]!Table1[[#This Row],[year]],10)</f>
        <v>1990</v>
      </c>
      <c r="D238" t="s">
        <v>20</v>
      </c>
      <c r="E238" t="s">
        <v>50</v>
      </c>
      <c r="F238">
        <v>3</v>
      </c>
      <c r="G238">
        <v>0</v>
      </c>
      <c r="H238" t="s">
        <v>74</v>
      </c>
      <c r="I238" t="s">
        <v>138</v>
      </c>
      <c r="J238" t="s">
        <v>20</v>
      </c>
      <c r="K238" t="b">
        <v>0</v>
      </c>
      <c r="L238">
        <v>1998</v>
      </c>
      <c r="M238">
        <v>1496906382032.47</v>
      </c>
      <c r="N238">
        <v>152982984557.233</v>
      </c>
      <c r="O238">
        <v>1</v>
      </c>
    </row>
    <row r="239" spans="1:15" x14ac:dyDescent="0.3">
      <c r="A239" s="1">
        <v>521</v>
      </c>
      <c r="B239" s="2">
        <v>35958</v>
      </c>
      <c r="C239" s="2">
        <f>_xlfn.FLOOR.MATH([1]!Table1[[#This Row],[year]],10)</f>
        <v>1990</v>
      </c>
      <c r="D239" t="s">
        <v>35</v>
      </c>
      <c r="E239" t="s">
        <v>33</v>
      </c>
      <c r="F239">
        <v>0</v>
      </c>
      <c r="G239">
        <v>0</v>
      </c>
      <c r="H239" t="s">
        <v>74</v>
      </c>
      <c r="I239" t="s">
        <v>135</v>
      </c>
      <c r="J239" t="s">
        <v>20</v>
      </c>
      <c r="K239" t="b">
        <v>1</v>
      </c>
      <c r="L239">
        <v>1998</v>
      </c>
      <c r="M239">
        <v>9260481572.4246197</v>
      </c>
      <c r="N239">
        <v>15031055046.7575</v>
      </c>
      <c r="O239">
        <v>0</v>
      </c>
    </row>
    <row r="240" spans="1:15" x14ac:dyDescent="0.3">
      <c r="A240" s="1">
        <v>522</v>
      </c>
      <c r="B240" s="2">
        <v>35958</v>
      </c>
      <c r="C240" s="2">
        <f>_xlfn.FLOOR.MATH([1]!Table1[[#This Row],[year]],10)</f>
        <v>1990</v>
      </c>
      <c r="D240" t="s">
        <v>45</v>
      </c>
      <c r="E240" t="s">
        <v>36</v>
      </c>
      <c r="F240">
        <v>0</v>
      </c>
      <c r="G240">
        <v>1</v>
      </c>
      <c r="H240" t="s">
        <v>74</v>
      </c>
      <c r="I240" t="s">
        <v>139</v>
      </c>
      <c r="J240" t="s">
        <v>20</v>
      </c>
      <c r="K240" t="b">
        <v>1</v>
      </c>
      <c r="L240">
        <v>1998</v>
      </c>
      <c r="M240">
        <v>146775466666.66699</v>
      </c>
      <c r="N240">
        <v>176877077513.133</v>
      </c>
      <c r="O240">
        <v>1</v>
      </c>
    </row>
    <row r="241" spans="1:15" x14ac:dyDescent="0.3">
      <c r="A241" s="1">
        <v>524</v>
      </c>
      <c r="B241" s="2">
        <v>35959</v>
      </c>
      <c r="C241" s="2">
        <f>_xlfn.FLOOR.MATH([1]!Table1[[#This Row],[year]],10)</f>
        <v>1990</v>
      </c>
      <c r="D241" t="s">
        <v>27</v>
      </c>
      <c r="E241" t="s">
        <v>23</v>
      </c>
      <c r="F241">
        <v>0</v>
      </c>
      <c r="G241">
        <v>0</v>
      </c>
      <c r="H241" t="s">
        <v>74</v>
      </c>
      <c r="I241" t="s">
        <v>140</v>
      </c>
      <c r="J241" t="s">
        <v>20</v>
      </c>
      <c r="K241" t="b">
        <v>1</v>
      </c>
      <c r="L241">
        <v>1998</v>
      </c>
      <c r="M241">
        <v>438612530548.76703</v>
      </c>
      <c r="N241">
        <v>258528339631.02899</v>
      </c>
      <c r="O241">
        <v>0</v>
      </c>
    </row>
    <row r="242" spans="1:15" x14ac:dyDescent="0.3">
      <c r="A242" s="1">
        <v>525</v>
      </c>
      <c r="B242" s="2">
        <v>35959</v>
      </c>
      <c r="C242" s="2">
        <f>_xlfn.FLOOR.MATH([1]!Table1[[#This Row],[year]],10)</f>
        <v>1990</v>
      </c>
      <c r="D242" t="s">
        <v>21</v>
      </c>
      <c r="E242" t="s">
        <v>43</v>
      </c>
      <c r="F242">
        <v>2</v>
      </c>
      <c r="G242">
        <v>3</v>
      </c>
      <c r="H242" t="s">
        <v>74</v>
      </c>
      <c r="I242" t="s">
        <v>141</v>
      </c>
      <c r="J242" t="s">
        <v>20</v>
      </c>
      <c r="K242" t="b">
        <v>1</v>
      </c>
      <c r="L242">
        <v>1998</v>
      </c>
      <c r="M242">
        <v>618731484575.12</v>
      </c>
      <c r="N242">
        <v>218416200672.72699</v>
      </c>
      <c r="O242">
        <v>-1</v>
      </c>
    </row>
    <row r="243" spans="1:15" x14ac:dyDescent="0.3">
      <c r="A243" s="1">
        <v>526</v>
      </c>
      <c r="B243" s="2">
        <v>35960</v>
      </c>
      <c r="C243" s="2">
        <f>_xlfn.FLOOR.MATH([1]!Table1[[#This Row],[year]],10)</f>
        <v>1990</v>
      </c>
      <c r="D243" t="s">
        <v>19</v>
      </c>
      <c r="E243" t="s">
        <v>51</v>
      </c>
      <c r="F243">
        <v>1</v>
      </c>
      <c r="G243">
        <v>0</v>
      </c>
      <c r="H243" t="s">
        <v>74</v>
      </c>
      <c r="I243" t="s">
        <v>136</v>
      </c>
      <c r="J243" t="s">
        <v>20</v>
      </c>
      <c r="K243" t="b">
        <v>1</v>
      </c>
      <c r="L243">
        <v>1998</v>
      </c>
      <c r="M243">
        <v>298948250000</v>
      </c>
      <c r="N243">
        <v>4098362709531.2402</v>
      </c>
      <c r="O243">
        <v>-1</v>
      </c>
    </row>
    <row r="244" spans="1:15" x14ac:dyDescent="0.3">
      <c r="A244" s="1">
        <v>527</v>
      </c>
      <c r="B244" s="2">
        <v>35960</v>
      </c>
      <c r="C244" s="2">
        <f>_xlfn.FLOOR.MATH([1]!Table1[[#This Row],[year]],10)</f>
        <v>1990</v>
      </c>
      <c r="D244" t="s">
        <v>49</v>
      </c>
      <c r="E244" t="s">
        <v>52</v>
      </c>
      <c r="F244">
        <v>1</v>
      </c>
      <c r="G244">
        <v>3</v>
      </c>
      <c r="H244" t="s">
        <v>74</v>
      </c>
      <c r="I244" t="s">
        <v>139</v>
      </c>
      <c r="J244" t="s">
        <v>20</v>
      </c>
      <c r="K244" t="b">
        <v>1</v>
      </c>
      <c r="L244">
        <v>1998</v>
      </c>
      <c r="M244">
        <v>8787195622.4350204</v>
      </c>
      <c r="N244">
        <v>25890228429.721401</v>
      </c>
      <c r="O244">
        <v>1</v>
      </c>
    </row>
    <row r="245" spans="1:15" x14ac:dyDescent="0.3">
      <c r="A245" s="1">
        <v>528</v>
      </c>
      <c r="B245" s="2">
        <v>35960</v>
      </c>
      <c r="C245" s="2">
        <f>_xlfn.FLOOR.MATH([1]!Table1[[#This Row],[year]],10)</f>
        <v>1990</v>
      </c>
      <c r="D245" t="s">
        <v>61</v>
      </c>
      <c r="E245" t="s">
        <v>225</v>
      </c>
      <c r="F245">
        <v>1</v>
      </c>
      <c r="G245">
        <v>0</v>
      </c>
      <c r="H245" t="s">
        <v>74</v>
      </c>
      <c r="I245" t="s">
        <v>144</v>
      </c>
      <c r="J245" t="s">
        <v>20</v>
      </c>
      <c r="K245" t="b">
        <v>1</v>
      </c>
      <c r="L245">
        <v>1998</v>
      </c>
      <c r="M245">
        <v>21004077441.480202</v>
      </c>
      <c r="N245">
        <v>110276913362.508</v>
      </c>
      <c r="O245">
        <v>-1</v>
      </c>
    </row>
    <row r="246" spans="1:15" x14ac:dyDescent="0.3">
      <c r="A246" s="1">
        <v>529</v>
      </c>
      <c r="B246" s="2">
        <v>35961</v>
      </c>
      <c r="C246" s="2">
        <f>_xlfn.FLOOR.MATH([1]!Table1[[#This Row],[year]],10)</f>
        <v>1990</v>
      </c>
      <c r="D246" t="s">
        <v>207</v>
      </c>
      <c r="E246" t="s">
        <v>53</v>
      </c>
      <c r="F246">
        <v>2</v>
      </c>
      <c r="G246">
        <v>0</v>
      </c>
      <c r="H246" t="s">
        <v>74</v>
      </c>
      <c r="I246" t="s">
        <v>138</v>
      </c>
      <c r="J246" t="s">
        <v>20</v>
      </c>
      <c r="K246" t="b">
        <v>1</v>
      </c>
      <c r="L246">
        <v>1998</v>
      </c>
      <c r="M246">
        <v>1660821464060.95</v>
      </c>
      <c r="N246">
        <v>21802893587.125999</v>
      </c>
      <c r="O246">
        <v>1</v>
      </c>
    </row>
    <row r="247" spans="1:15" x14ac:dyDescent="0.3">
      <c r="A247" s="1">
        <v>530</v>
      </c>
      <c r="B247" s="2">
        <v>35961</v>
      </c>
      <c r="C247" s="2">
        <f>_xlfn.FLOOR.MATH([1]!Table1[[#This Row],[year]],10)</f>
        <v>1990</v>
      </c>
      <c r="D247" t="s">
        <v>16</v>
      </c>
      <c r="E247" t="s">
        <v>41</v>
      </c>
      <c r="F247">
        <v>2</v>
      </c>
      <c r="G247">
        <v>0</v>
      </c>
      <c r="H247" t="s">
        <v>74</v>
      </c>
      <c r="I247" t="s">
        <v>142</v>
      </c>
      <c r="J247" t="s">
        <v>20</v>
      </c>
      <c r="K247" t="b">
        <v>1</v>
      </c>
      <c r="L247">
        <v>1998</v>
      </c>
      <c r="M247">
        <v>2247760364565.9702</v>
      </c>
      <c r="N247">
        <v>9062818202000</v>
      </c>
      <c r="O247">
        <v>-1</v>
      </c>
    </row>
    <row r="248" spans="1:15" x14ac:dyDescent="0.3">
      <c r="A248" s="1">
        <v>531</v>
      </c>
      <c r="B248" s="2">
        <v>35961</v>
      </c>
      <c r="C248" s="2">
        <f>_xlfn.FLOOR.MATH([1]!Table1[[#This Row],[year]],10)</f>
        <v>1990</v>
      </c>
      <c r="D248" t="s">
        <v>44</v>
      </c>
      <c r="E248" t="s">
        <v>15</v>
      </c>
      <c r="F248">
        <v>1</v>
      </c>
      <c r="G248">
        <v>0</v>
      </c>
      <c r="H248" t="s">
        <v>74</v>
      </c>
      <c r="I248" t="s">
        <v>143</v>
      </c>
      <c r="J248" t="s">
        <v>20</v>
      </c>
      <c r="K248" t="b">
        <v>1</v>
      </c>
      <c r="L248">
        <v>1998</v>
      </c>
      <c r="M248">
        <v>41696091973.707603</v>
      </c>
      <c r="N248">
        <v>98443739941.166397</v>
      </c>
      <c r="O248">
        <v>-1</v>
      </c>
    </row>
    <row r="249" spans="1:15" x14ac:dyDescent="0.3">
      <c r="A249" s="1">
        <v>532</v>
      </c>
      <c r="B249" s="2">
        <v>35962</v>
      </c>
      <c r="C249" s="2">
        <f>_xlfn.FLOOR.MATH([1]!Table1[[#This Row],[year]],10)</f>
        <v>1990</v>
      </c>
      <c r="D249" t="s">
        <v>13</v>
      </c>
      <c r="E249" t="s">
        <v>24</v>
      </c>
      <c r="F249">
        <v>3</v>
      </c>
      <c r="G249">
        <v>0</v>
      </c>
      <c r="H249" t="s">
        <v>74</v>
      </c>
      <c r="I249" t="s">
        <v>141</v>
      </c>
      <c r="J249" t="s">
        <v>20</v>
      </c>
      <c r="K249" t="b">
        <v>1</v>
      </c>
      <c r="L249">
        <v>1998</v>
      </c>
      <c r="M249">
        <v>863711007325.49304</v>
      </c>
      <c r="N249">
        <v>46497608724.986504</v>
      </c>
      <c r="O249">
        <v>1</v>
      </c>
    </row>
    <row r="250" spans="1:15" x14ac:dyDescent="0.3">
      <c r="A250" s="1">
        <v>534</v>
      </c>
      <c r="B250" s="2">
        <v>35963</v>
      </c>
      <c r="C250" s="2">
        <f>_xlfn.FLOOR.MATH([1]!Table1[[#This Row],[year]],10)</f>
        <v>1990</v>
      </c>
      <c r="D250" t="s">
        <v>14</v>
      </c>
      <c r="E250" t="s">
        <v>29</v>
      </c>
      <c r="F250">
        <v>1</v>
      </c>
      <c r="G250">
        <v>1</v>
      </c>
      <c r="H250" t="s">
        <v>74</v>
      </c>
      <c r="I250" t="s">
        <v>144</v>
      </c>
      <c r="J250" t="s">
        <v>20</v>
      </c>
      <c r="K250" t="b">
        <v>1</v>
      </c>
      <c r="L250">
        <v>1998</v>
      </c>
      <c r="M250">
        <v>81990010704.060196</v>
      </c>
      <c r="N250">
        <v>217068085815.918</v>
      </c>
      <c r="O250">
        <v>0</v>
      </c>
    </row>
    <row r="251" spans="1:15" x14ac:dyDescent="0.3">
      <c r="A251" s="1">
        <v>535</v>
      </c>
      <c r="B251" s="2">
        <v>35963</v>
      </c>
      <c r="C251" s="2">
        <f>_xlfn.FLOOR.MATH([1]!Table1[[#This Row],[year]],10)</f>
        <v>1990</v>
      </c>
      <c r="D251" t="s">
        <v>18</v>
      </c>
      <c r="E251" t="s">
        <v>40</v>
      </c>
      <c r="F251">
        <v>3</v>
      </c>
      <c r="G251">
        <v>0</v>
      </c>
      <c r="H251" t="s">
        <v>74</v>
      </c>
      <c r="I251" t="s">
        <v>135</v>
      </c>
      <c r="J251" t="s">
        <v>20</v>
      </c>
      <c r="K251" t="b">
        <v>1</v>
      </c>
      <c r="L251">
        <v>1998</v>
      </c>
      <c r="M251">
        <v>1272729786996.77</v>
      </c>
      <c r="N251">
        <v>11298144990.4104</v>
      </c>
      <c r="O251">
        <v>1</v>
      </c>
    </row>
    <row r="252" spans="1:15" x14ac:dyDescent="0.3">
      <c r="A252" s="1">
        <v>536</v>
      </c>
      <c r="B252" s="2">
        <v>35964</v>
      </c>
      <c r="C252" s="2">
        <f>_xlfn.FLOOR.MATH([1]!Table1[[#This Row],[year]],10)</f>
        <v>1990</v>
      </c>
      <c r="D252" t="s">
        <v>20</v>
      </c>
      <c r="E252" t="s">
        <v>45</v>
      </c>
      <c r="F252">
        <v>4</v>
      </c>
      <c r="G252">
        <v>0</v>
      </c>
      <c r="H252" t="s">
        <v>74</v>
      </c>
      <c r="I252" t="s">
        <v>140</v>
      </c>
      <c r="J252" t="s">
        <v>20</v>
      </c>
      <c r="K252" t="b">
        <v>0</v>
      </c>
      <c r="L252">
        <v>1998</v>
      </c>
      <c r="M252">
        <v>1496906382032.47</v>
      </c>
      <c r="N252">
        <v>146775466666.66699</v>
      </c>
      <c r="O252">
        <v>1</v>
      </c>
    </row>
    <row r="253" spans="1:15" x14ac:dyDescent="0.3">
      <c r="A253" s="1">
        <v>537</v>
      </c>
      <c r="B253" s="2">
        <v>35964</v>
      </c>
      <c r="C253" s="2">
        <f>_xlfn.FLOOR.MATH([1]!Table1[[#This Row],[year]],10)</f>
        <v>1990</v>
      </c>
      <c r="D253" t="s">
        <v>50</v>
      </c>
      <c r="E253" t="s">
        <v>36</v>
      </c>
      <c r="F253">
        <v>1</v>
      </c>
      <c r="G253">
        <v>1</v>
      </c>
      <c r="H253" t="s">
        <v>74</v>
      </c>
      <c r="I253" t="s">
        <v>136</v>
      </c>
      <c r="J253" t="s">
        <v>20</v>
      </c>
      <c r="K253" t="b">
        <v>1</v>
      </c>
      <c r="L253">
        <v>1998</v>
      </c>
      <c r="M253">
        <v>152982984557.233</v>
      </c>
      <c r="N253">
        <v>176877077513.133</v>
      </c>
      <c r="O253">
        <v>0</v>
      </c>
    </row>
    <row r="254" spans="1:15" x14ac:dyDescent="0.3">
      <c r="A254" s="1">
        <v>538</v>
      </c>
      <c r="B254" s="2">
        <v>35965</v>
      </c>
      <c r="C254" s="2">
        <f>_xlfn.FLOOR.MATH([1]!Table1[[#This Row],[year]],10)</f>
        <v>1990</v>
      </c>
      <c r="D254" t="s">
        <v>43</v>
      </c>
      <c r="E254" t="s">
        <v>33</v>
      </c>
      <c r="F254">
        <v>1</v>
      </c>
      <c r="G254">
        <v>0</v>
      </c>
      <c r="H254" t="s">
        <v>74</v>
      </c>
      <c r="I254" t="s">
        <v>142</v>
      </c>
      <c r="J254" t="s">
        <v>20</v>
      </c>
      <c r="K254" t="b">
        <v>1</v>
      </c>
      <c r="L254">
        <v>1998</v>
      </c>
      <c r="M254">
        <v>218416200672.72699</v>
      </c>
      <c r="N254">
        <v>15031055046.7575</v>
      </c>
      <c r="O254">
        <v>1</v>
      </c>
    </row>
    <row r="255" spans="1:15" x14ac:dyDescent="0.3">
      <c r="A255" s="1">
        <v>539</v>
      </c>
      <c r="B255" s="2">
        <v>35965</v>
      </c>
      <c r="C255" s="2">
        <f>_xlfn.FLOOR.MATH([1]!Table1[[#This Row],[year]],10)</f>
        <v>1990</v>
      </c>
      <c r="D255" t="s">
        <v>21</v>
      </c>
      <c r="E255" t="s">
        <v>35</v>
      </c>
      <c r="F255">
        <v>0</v>
      </c>
      <c r="G255">
        <v>0</v>
      </c>
      <c r="H255" t="s">
        <v>74</v>
      </c>
      <c r="I255" t="s">
        <v>144</v>
      </c>
      <c r="J255" t="s">
        <v>20</v>
      </c>
      <c r="K255" t="b">
        <v>1</v>
      </c>
      <c r="L255">
        <v>1998</v>
      </c>
      <c r="M255">
        <v>618731484575.12</v>
      </c>
      <c r="N255">
        <v>9260481572.4246197</v>
      </c>
      <c r="O255">
        <v>0</v>
      </c>
    </row>
    <row r="256" spans="1:15" x14ac:dyDescent="0.3">
      <c r="A256" s="1">
        <v>540</v>
      </c>
      <c r="B256" s="2">
        <v>35966</v>
      </c>
      <c r="C256" s="2">
        <f>_xlfn.FLOOR.MATH([1]!Table1[[#This Row],[year]],10)</f>
        <v>1990</v>
      </c>
      <c r="D256" t="s">
        <v>23</v>
      </c>
      <c r="E256" t="s">
        <v>17</v>
      </c>
      <c r="F256">
        <v>2</v>
      </c>
      <c r="G256">
        <v>2</v>
      </c>
      <c r="H256" t="s">
        <v>74</v>
      </c>
      <c r="I256" t="s">
        <v>137</v>
      </c>
      <c r="J256" t="s">
        <v>20</v>
      </c>
      <c r="K256" t="b">
        <v>1</v>
      </c>
      <c r="L256">
        <v>1998</v>
      </c>
      <c r="M256">
        <v>258528339631.02899</v>
      </c>
      <c r="N256">
        <v>557461102630.65796</v>
      </c>
      <c r="O256">
        <v>0</v>
      </c>
    </row>
    <row r="257" spans="1:15" x14ac:dyDescent="0.3">
      <c r="A257" s="1">
        <v>541</v>
      </c>
      <c r="B257" s="2">
        <v>35966</v>
      </c>
      <c r="C257" s="2">
        <f>_xlfn.FLOOR.MATH([1]!Table1[[#This Row],[year]],10)</f>
        <v>1990</v>
      </c>
      <c r="D257" t="s">
        <v>51</v>
      </c>
      <c r="E257" t="s">
        <v>52</v>
      </c>
      <c r="F257">
        <v>0</v>
      </c>
      <c r="G257">
        <v>1</v>
      </c>
      <c r="H257" t="s">
        <v>74</v>
      </c>
      <c r="I257" t="s">
        <v>141</v>
      </c>
      <c r="J257" t="s">
        <v>20</v>
      </c>
      <c r="K257" t="b">
        <v>1</v>
      </c>
      <c r="L257">
        <v>1998</v>
      </c>
      <c r="M257">
        <v>4098362709531.2402</v>
      </c>
      <c r="N257">
        <v>25890228429.721401</v>
      </c>
      <c r="O257">
        <v>-1</v>
      </c>
    </row>
    <row r="258" spans="1:15" x14ac:dyDescent="0.3">
      <c r="A258" s="1">
        <v>543</v>
      </c>
      <c r="B258" s="2">
        <v>35967</v>
      </c>
      <c r="C258" s="2">
        <f>_xlfn.FLOOR.MATH([1]!Table1[[#This Row],[year]],10)</f>
        <v>1990</v>
      </c>
      <c r="D258" t="s">
        <v>19</v>
      </c>
      <c r="E258" t="s">
        <v>49</v>
      </c>
      <c r="F258">
        <v>5</v>
      </c>
      <c r="G258">
        <v>0</v>
      </c>
      <c r="H258" t="s">
        <v>74</v>
      </c>
      <c r="I258" t="s">
        <v>142</v>
      </c>
      <c r="J258" t="s">
        <v>20</v>
      </c>
      <c r="K258" t="b">
        <v>1</v>
      </c>
      <c r="L258">
        <v>1998</v>
      </c>
      <c r="M258">
        <v>298948250000</v>
      </c>
      <c r="N258">
        <v>8787195622.4350204</v>
      </c>
      <c r="O258">
        <v>1</v>
      </c>
    </row>
    <row r="259" spans="1:15" x14ac:dyDescent="0.3">
      <c r="A259" s="1">
        <v>544</v>
      </c>
      <c r="B259" s="2">
        <v>35967</v>
      </c>
      <c r="C259" s="2">
        <f>_xlfn.FLOOR.MATH([1]!Table1[[#This Row],[year]],10)</f>
        <v>1990</v>
      </c>
      <c r="D259" t="s">
        <v>16</v>
      </c>
      <c r="E259" t="s">
        <v>61</v>
      </c>
      <c r="F259">
        <v>2</v>
      </c>
      <c r="G259">
        <v>2</v>
      </c>
      <c r="H259" t="s">
        <v>74</v>
      </c>
      <c r="I259" t="s">
        <v>139</v>
      </c>
      <c r="J259" t="s">
        <v>20</v>
      </c>
      <c r="K259" t="b">
        <v>1</v>
      </c>
      <c r="L259">
        <v>1998</v>
      </c>
      <c r="M259">
        <v>2247760364565.9702</v>
      </c>
      <c r="N259">
        <v>21004077441.480202</v>
      </c>
      <c r="O259">
        <v>0</v>
      </c>
    </row>
    <row r="260" spans="1:15" x14ac:dyDescent="0.3">
      <c r="A260" s="1">
        <v>545</v>
      </c>
      <c r="B260" s="2">
        <v>35967</v>
      </c>
      <c r="C260" s="2">
        <f>_xlfn.FLOOR.MATH([1]!Table1[[#This Row],[year]],10)</f>
        <v>1990</v>
      </c>
      <c r="D260" t="s">
        <v>41</v>
      </c>
      <c r="E260" t="s">
        <v>225</v>
      </c>
      <c r="F260">
        <v>1</v>
      </c>
      <c r="G260">
        <v>2</v>
      </c>
      <c r="H260" t="s">
        <v>74</v>
      </c>
      <c r="I260" t="s">
        <v>143</v>
      </c>
      <c r="J260" t="s">
        <v>20</v>
      </c>
      <c r="K260" t="b">
        <v>1</v>
      </c>
      <c r="L260">
        <v>1998</v>
      </c>
      <c r="M260">
        <v>9062818202000</v>
      </c>
      <c r="N260">
        <v>110276913362.508</v>
      </c>
      <c r="O260">
        <v>-1</v>
      </c>
    </row>
    <row r="261" spans="1:15" x14ac:dyDescent="0.3">
      <c r="A261" s="1">
        <v>546</v>
      </c>
      <c r="B261" s="2">
        <v>35968</v>
      </c>
      <c r="C261" s="2">
        <f>_xlfn.FLOOR.MATH([1]!Table1[[#This Row],[year]],10)</f>
        <v>1990</v>
      </c>
      <c r="D261" t="s">
        <v>15</v>
      </c>
      <c r="E261" t="s">
        <v>53</v>
      </c>
      <c r="F261">
        <v>1</v>
      </c>
      <c r="G261">
        <v>0</v>
      </c>
      <c r="H261" t="s">
        <v>74</v>
      </c>
      <c r="I261" t="s">
        <v>135</v>
      </c>
      <c r="J261" t="s">
        <v>20</v>
      </c>
      <c r="K261" t="b">
        <v>1</v>
      </c>
      <c r="L261">
        <v>1998</v>
      </c>
      <c r="M261">
        <v>98443739941.166397</v>
      </c>
      <c r="N261">
        <v>21802893587.125999</v>
      </c>
      <c r="O261">
        <v>1</v>
      </c>
    </row>
    <row r="262" spans="1:15" x14ac:dyDescent="0.3">
      <c r="A262" s="1">
        <v>547</v>
      </c>
      <c r="B262" s="2">
        <v>35968</v>
      </c>
      <c r="C262" s="2">
        <f>_xlfn.FLOOR.MATH([1]!Table1[[#This Row],[year]],10)</f>
        <v>1990</v>
      </c>
      <c r="D262" t="s">
        <v>44</v>
      </c>
      <c r="E262" t="s">
        <v>207</v>
      </c>
      <c r="F262">
        <v>2</v>
      </c>
      <c r="G262">
        <v>1</v>
      </c>
      <c r="H262" t="s">
        <v>74</v>
      </c>
      <c r="I262" t="s">
        <v>136</v>
      </c>
      <c r="J262" t="s">
        <v>20</v>
      </c>
      <c r="K262" t="b">
        <v>1</v>
      </c>
      <c r="L262">
        <v>1998</v>
      </c>
      <c r="M262">
        <v>41696091973.707603</v>
      </c>
      <c r="N262">
        <v>1660821464060.95</v>
      </c>
      <c r="O262">
        <v>-1</v>
      </c>
    </row>
    <row r="263" spans="1:15" x14ac:dyDescent="0.3">
      <c r="A263" s="1">
        <v>548</v>
      </c>
      <c r="B263" s="2">
        <v>35969</v>
      </c>
      <c r="C263" s="2">
        <f>_xlfn.FLOOR.MATH([1]!Table1[[#This Row],[year]],10)</f>
        <v>1990</v>
      </c>
      <c r="D263" t="s">
        <v>13</v>
      </c>
      <c r="E263" t="s">
        <v>42</v>
      </c>
      <c r="F263">
        <v>1</v>
      </c>
      <c r="G263">
        <v>2</v>
      </c>
      <c r="H263" t="s">
        <v>74</v>
      </c>
      <c r="I263" t="s">
        <v>138</v>
      </c>
      <c r="J263" t="s">
        <v>20</v>
      </c>
      <c r="K263" t="b">
        <v>1</v>
      </c>
      <c r="L263">
        <v>1998</v>
      </c>
      <c r="M263">
        <v>863711007325.49304</v>
      </c>
      <c r="N263">
        <v>154230295158.44699</v>
      </c>
      <c r="O263">
        <v>-1</v>
      </c>
    </row>
    <row r="264" spans="1:15" x14ac:dyDescent="0.3">
      <c r="A264" s="1">
        <v>549</v>
      </c>
      <c r="B264" s="2">
        <v>35969</v>
      </c>
      <c r="C264" s="2">
        <f>_xlfn.FLOOR.MATH([1]!Table1[[#This Row],[year]],10)</f>
        <v>1990</v>
      </c>
      <c r="D264" t="s">
        <v>14</v>
      </c>
      <c r="E264" t="s">
        <v>40</v>
      </c>
      <c r="F264">
        <v>1</v>
      </c>
      <c r="G264">
        <v>1</v>
      </c>
      <c r="H264" t="s">
        <v>74</v>
      </c>
      <c r="I264" t="s">
        <v>141</v>
      </c>
      <c r="J264" t="s">
        <v>20</v>
      </c>
      <c r="K264" t="b">
        <v>1</v>
      </c>
      <c r="L264">
        <v>1998</v>
      </c>
      <c r="M264">
        <v>81990010704.060196</v>
      </c>
      <c r="N264">
        <v>11298144990.4104</v>
      </c>
      <c r="O264">
        <v>0</v>
      </c>
    </row>
    <row r="265" spans="1:15" x14ac:dyDescent="0.3">
      <c r="A265" s="1">
        <v>550</v>
      </c>
      <c r="B265" s="2">
        <v>35969</v>
      </c>
      <c r="C265" s="2">
        <f>_xlfn.FLOOR.MATH([1]!Table1[[#This Row],[year]],10)</f>
        <v>1990</v>
      </c>
      <c r="D265" t="s">
        <v>18</v>
      </c>
      <c r="E265" t="s">
        <v>29</v>
      </c>
      <c r="F265">
        <v>2</v>
      </c>
      <c r="G265">
        <v>1</v>
      </c>
      <c r="H265" t="s">
        <v>74</v>
      </c>
      <c r="I265" t="s">
        <v>140</v>
      </c>
      <c r="J265" t="s">
        <v>20</v>
      </c>
      <c r="K265" t="b">
        <v>1</v>
      </c>
      <c r="L265">
        <v>1998</v>
      </c>
      <c r="M265">
        <v>1272729786996.77</v>
      </c>
      <c r="N265">
        <v>217068085815.918</v>
      </c>
      <c r="O265">
        <v>1</v>
      </c>
    </row>
    <row r="266" spans="1:15" x14ac:dyDescent="0.3">
      <c r="A266" s="1">
        <v>552</v>
      </c>
      <c r="B266" s="2">
        <v>35970</v>
      </c>
      <c r="C266" s="2">
        <f>_xlfn.FLOOR.MATH([1]!Table1[[#This Row],[year]],10)</f>
        <v>1990</v>
      </c>
      <c r="D266" t="s">
        <v>20</v>
      </c>
      <c r="E266" t="s">
        <v>36</v>
      </c>
      <c r="F266">
        <v>2</v>
      </c>
      <c r="G266">
        <v>1</v>
      </c>
      <c r="H266" t="s">
        <v>74</v>
      </c>
      <c r="I266" t="s">
        <v>143</v>
      </c>
      <c r="J266" t="s">
        <v>20</v>
      </c>
      <c r="K266" t="b">
        <v>0</v>
      </c>
      <c r="L266">
        <v>1998</v>
      </c>
      <c r="M266">
        <v>1496906382032.47</v>
      </c>
      <c r="N266">
        <v>176877077513.133</v>
      </c>
      <c r="O266">
        <v>1</v>
      </c>
    </row>
    <row r="267" spans="1:15" x14ac:dyDescent="0.3">
      <c r="A267" s="1">
        <v>553</v>
      </c>
      <c r="B267" s="2">
        <v>35970</v>
      </c>
      <c r="C267" s="2">
        <f>_xlfn.FLOOR.MATH([1]!Table1[[#This Row],[year]],10)</f>
        <v>1990</v>
      </c>
      <c r="D267" t="s">
        <v>43</v>
      </c>
      <c r="E267" t="s">
        <v>35</v>
      </c>
      <c r="F267">
        <v>1</v>
      </c>
      <c r="G267">
        <v>3</v>
      </c>
      <c r="H267" t="s">
        <v>74</v>
      </c>
      <c r="I267" t="s">
        <v>136</v>
      </c>
      <c r="J267" t="s">
        <v>20</v>
      </c>
      <c r="K267" t="b">
        <v>1</v>
      </c>
      <c r="L267">
        <v>1998</v>
      </c>
      <c r="M267">
        <v>218416200672.72699</v>
      </c>
      <c r="N267">
        <v>9260481572.4246197</v>
      </c>
      <c r="O267">
        <v>-1</v>
      </c>
    </row>
    <row r="268" spans="1:15" x14ac:dyDescent="0.3">
      <c r="A268" s="1">
        <v>554</v>
      </c>
      <c r="B268" s="2">
        <v>35970</v>
      </c>
      <c r="C268" s="2">
        <f>_xlfn.FLOOR.MATH([1]!Table1[[#This Row],[year]],10)</f>
        <v>1990</v>
      </c>
      <c r="D268" t="s">
        <v>50</v>
      </c>
      <c r="E268" t="s">
        <v>45</v>
      </c>
      <c r="F268">
        <v>2</v>
      </c>
      <c r="G268">
        <v>2</v>
      </c>
      <c r="H268" t="s">
        <v>74</v>
      </c>
      <c r="I268" t="s">
        <v>137</v>
      </c>
      <c r="J268" t="s">
        <v>20</v>
      </c>
      <c r="K268" t="b">
        <v>1</v>
      </c>
      <c r="L268">
        <v>1998</v>
      </c>
      <c r="M268">
        <v>152982984557.233</v>
      </c>
      <c r="N268">
        <v>146775466666.66699</v>
      </c>
      <c r="O268">
        <v>0</v>
      </c>
    </row>
    <row r="269" spans="1:15" x14ac:dyDescent="0.3">
      <c r="A269" s="1">
        <v>555</v>
      </c>
      <c r="B269" s="2">
        <v>35970</v>
      </c>
      <c r="C269" s="2">
        <f>_xlfn.FLOOR.MATH([1]!Table1[[#This Row],[year]],10)</f>
        <v>1990</v>
      </c>
      <c r="D269" t="s">
        <v>21</v>
      </c>
      <c r="E269" t="s">
        <v>33</v>
      </c>
      <c r="F269">
        <v>6</v>
      </c>
      <c r="G269">
        <v>1</v>
      </c>
      <c r="H269" t="s">
        <v>74</v>
      </c>
      <c r="I269" t="s">
        <v>139</v>
      </c>
      <c r="J269" t="s">
        <v>20</v>
      </c>
      <c r="K269" t="b">
        <v>1</v>
      </c>
      <c r="L269">
        <v>1998</v>
      </c>
      <c r="M269">
        <v>618731484575.12</v>
      </c>
      <c r="N269">
        <v>15031055046.7575</v>
      </c>
      <c r="O269">
        <v>1</v>
      </c>
    </row>
    <row r="270" spans="1:15" x14ac:dyDescent="0.3">
      <c r="A270" s="1">
        <v>557</v>
      </c>
      <c r="B270" s="2">
        <v>35971</v>
      </c>
      <c r="C270" s="2">
        <f>_xlfn.FLOOR.MATH([1]!Table1[[#This Row],[year]],10)</f>
        <v>1990</v>
      </c>
      <c r="D270" t="s">
        <v>16</v>
      </c>
      <c r="E270" t="s">
        <v>225</v>
      </c>
      <c r="F270">
        <v>2</v>
      </c>
      <c r="G270">
        <v>0</v>
      </c>
      <c r="H270" t="s">
        <v>74</v>
      </c>
      <c r="I270" t="s">
        <v>135</v>
      </c>
      <c r="J270" t="s">
        <v>20</v>
      </c>
      <c r="K270" t="b">
        <v>1</v>
      </c>
      <c r="L270">
        <v>1998</v>
      </c>
      <c r="M270">
        <v>2247760364565.9702</v>
      </c>
      <c r="N270">
        <v>110276913362.508</v>
      </c>
      <c r="O270">
        <v>1</v>
      </c>
    </row>
    <row r="271" spans="1:15" x14ac:dyDescent="0.3">
      <c r="A271" s="1">
        <v>558</v>
      </c>
      <c r="B271" s="2">
        <v>35971</v>
      </c>
      <c r="C271" s="2">
        <f>_xlfn.FLOOR.MATH([1]!Table1[[#This Row],[year]],10)</f>
        <v>1990</v>
      </c>
      <c r="D271" t="s">
        <v>27</v>
      </c>
      <c r="E271" t="s">
        <v>17</v>
      </c>
      <c r="F271">
        <v>2</v>
      </c>
      <c r="G271">
        <v>2</v>
      </c>
      <c r="H271" t="s">
        <v>74</v>
      </c>
      <c r="I271" t="s">
        <v>144</v>
      </c>
      <c r="J271" t="s">
        <v>20</v>
      </c>
      <c r="K271" t="b">
        <v>1</v>
      </c>
      <c r="L271">
        <v>1998</v>
      </c>
      <c r="M271">
        <v>438612530548.76703</v>
      </c>
      <c r="N271">
        <v>557461102630.65796</v>
      </c>
      <c r="O271">
        <v>0</v>
      </c>
    </row>
    <row r="272" spans="1:15" x14ac:dyDescent="0.3">
      <c r="A272" s="1">
        <v>559</v>
      </c>
      <c r="B272" s="2">
        <v>35971</v>
      </c>
      <c r="C272" s="2">
        <f>_xlfn.FLOOR.MATH([1]!Table1[[#This Row],[year]],10)</f>
        <v>1990</v>
      </c>
      <c r="D272" t="s">
        <v>41</v>
      </c>
      <c r="E272" t="s">
        <v>61</v>
      </c>
      <c r="F272">
        <v>0</v>
      </c>
      <c r="G272">
        <v>1</v>
      </c>
      <c r="H272" t="s">
        <v>74</v>
      </c>
      <c r="I272" t="s">
        <v>141</v>
      </c>
      <c r="J272" t="s">
        <v>20</v>
      </c>
      <c r="K272" t="b">
        <v>1</v>
      </c>
      <c r="L272">
        <v>1998</v>
      </c>
      <c r="M272">
        <v>9062818202000</v>
      </c>
      <c r="N272">
        <v>21004077441.480202</v>
      </c>
      <c r="O272">
        <v>-1</v>
      </c>
    </row>
    <row r="273" spans="1:15" x14ac:dyDescent="0.3">
      <c r="A273" s="1">
        <v>560</v>
      </c>
      <c r="B273" s="2">
        <v>35972</v>
      </c>
      <c r="C273" s="2">
        <f>_xlfn.FLOOR.MATH([1]!Table1[[#This Row],[year]],10)</f>
        <v>1990</v>
      </c>
      <c r="D273" t="s">
        <v>19</v>
      </c>
      <c r="E273" t="s">
        <v>52</v>
      </c>
      <c r="F273">
        <v>1</v>
      </c>
      <c r="G273">
        <v>0</v>
      </c>
      <c r="H273" t="s">
        <v>74</v>
      </c>
      <c r="I273" t="s">
        <v>137</v>
      </c>
      <c r="J273" t="s">
        <v>20</v>
      </c>
      <c r="K273" t="b">
        <v>1</v>
      </c>
      <c r="L273">
        <v>1998</v>
      </c>
      <c r="M273">
        <v>298948250000</v>
      </c>
      <c r="N273">
        <v>25890228429.721401</v>
      </c>
      <c r="O273">
        <v>1</v>
      </c>
    </row>
    <row r="274" spans="1:15" x14ac:dyDescent="0.3">
      <c r="A274" s="1">
        <v>561</v>
      </c>
      <c r="B274" s="2">
        <v>35972</v>
      </c>
      <c r="C274" s="2">
        <f>_xlfn.FLOOR.MATH([1]!Table1[[#This Row],[year]],10)</f>
        <v>1990</v>
      </c>
      <c r="D274" t="s">
        <v>15</v>
      </c>
      <c r="E274" t="s">
        <v>207</v>
      </c>
      <c r="F274">
        <v>0</v>
      </c>
      <c r="G274">
        <v>2</v>
      </c>
      <c r="H274" t="s">
        <v>74</v>
      </c>
      <c r="I274" t="s">
        <v>139</v>
      </c>
      <c r="J274" t="s">
        <v>20</v>
      </c>
      <c r="K274" t="b">
        <v>1</v>
      </c>
      <c r="L274">
        <v>1998</v>
      </c>
      <c r="M274">
        <v>98443739941.166397</v>
      </c>
      <c r="N274">
        <v>1660821464060.95</v>
      </c>
      <c r="O274">
        <v>1</v>
      </c>
    </row>
    <row r="275" spans="1:15" x14ac:dyDescent="0.3">
      <c r="A275" s="1">
        <v>562</v>
      </c>
      <c r="B275" s="2">
        <v>35972</v>
      </c>
      <c r="C275" s="2">
        <f>_xlfn.FLOOR.MATH([1]!Table1[[#This Row],[year]],10)</f>
        <v>1990</v>
      </c>
      <c r="D275" t="s">
        <v>51</v>
      </c>
      <c r="E275" t="s">
        <v>49</v>
      </c>
      <c r="F275">
        <v>1</v>
      </c>
      <c r="G275">
        <v>2</v>
      </c>
      <c r="H275" t="s">
        <v>74</v>
      </c>
      <c r="I275" t="s">
        <v>143</v>
      </c>
      <c r="J275" t="s">
        <v>20</v>
      </c>
      <c r="K275" t="b">
        <v>1</v>
      </c>
      <c r="L275">
        <v>1998</v>
      </c>
      <c r="M275">
        <v>4098362709531.2402</v>
      </c>
      <c r="N275">
        <v>8787195622.4350204</v>
      </c>
      <c r="O275">
        <v>-1</v>
      </c>
    </row>
    <row r="276" spans="1:15" x14ac:dyDescent="0.3">
      <c r="A276" s="1">
        <v>563</v>
      </c>
      <c r="B276" s="2">
        <v>35972</v>
      </c>
      <c r="C276" s="2">
        <f>_xlfn.FLOOR.MATH([1]!Table1[[#This Row],[year]],10)</f>
        <v>1990</v>
      </c>
      <c r="D276" t="s">
        <v>44</v>
      </c>
      <c r="E276" t="s">
        <v>53</v>
      </c>
      <c r="F276">
        <v>1</v>
      </c>
      <c r="G276">
        <v>1</v>
      </c>
      <c r="H276" t="s">
        <v>74</v>
      </c>
      <c r="I276" t="s">
        <v>140</v>
      </c>
      <c r="J276" t="s">
        <v>20</v>
      </c>
      <c r="K276" t="b">
        <v>1</v>
      </c>
      <c r="L276">
        <v>1998</v>
      </c>
      <c r="M276">
        <v>41696091973.707603</v>
      </c>
      <c r="N276">
        <v>21802893587.125999</v>
      </c>
      <c r="O276">
        <v>0</v>
      </c>
    </row>
    <row r="277" spans="1:15" x14ac:dyDescent="0.3">
      <c r="A277" s="1">
        <v>564</v>
      </c>
      <c r="B277" s="2">
        <v>35973</v>
      </c>
      <c r="C277" s="2">
        <f>_xlfn.FLOOR.MATH([1]!Table1[[#This Row],[year]],10)</f>
        <v>1990</v>
      </c>
      <c r="D277" t="s">
        <v>13</v>
      </c>
      <c r="E277" t="s">
        <v>14</v>
      </c>
      <c r="F277">
        <v>4</v>
      </c>
      <c r="G277">
        <v>1</v>
      </c>
      <c r="H277" t="s">
        <v>74</v>
      </c>
      <c r="I277" t="s">
        <v>142</v>
      </c>
      <c r="J277" t="s">
        <v>20</v>
      </c>
      <c r="K277" t="b">
        <v>1</v>
      </c>
      <c r="L277">
        <v>1998</v>
      </c>
      <c r="M277">
        <v>863711007325.49304</v>
      </c>
      <c r="N277">
        <v>81990010704.060196</v>
      </c>
      <c r="O277">
        <v>1</v>
      </c>
    </row>
    <row r="278" spans="1:15" x14ac:dyDescent="0.3">
      <c r="A278" s="1">
        <v>565</v>
      </c>
      <c r="B278" s="2">
        <v>35973</v>
      </c>
      <c r="C278" s="2">
        <f>_xlfn.FLOOR.MATH([1]!Table1[[#This Row],[year]],10)</f>
        <v>1990</v>
      </c>
      <c r="D278" t="s">
        <v>18</v>
      </c>
      <c r="E278" t="s">
        <v>42</v>
      </c>
      <c r="F278">
        <v>1</v>
      </c>
      <c r="G278">
        <v>0</v>
      </c>
      <c r="H278" t="s">
        <v>74</v>
      </c>
      <c r="I278" t="s">
        <v>138</v>
      </c>
      <c r="J278" t="s">
        <v>20</v>
      </c>
      <c r="K278" t="b">
        <v>1</v>
      </c>
      <c r="L278">
        <v>1998</v>
      </c>
      <c r="M278">
        <v>1272729786996.77</v>
      </c>
      <c r="N278">
        <v>154230295158.44699</v>
      </c>
      <c r="O278">
        <v>1</v>
      </c>
    </row>
    <row r="279" spans="1:15" x14ac:dyDescent="0.3">
      <c r="A279" s="1">
        <v>566</v>
      </c>
      <c r="B279" s="2">
        <v>35974</v>
      </c>
      <c r="C279" s="2">
        <f>_xlfn.FLOOR.MATH([1]!Table1[[#This Row],[year]],10)</f>
        <v>1990</v>
      </c>
      <c r="D279" t="s">
        <v>20</v>
      </c>
      <c r="E279" t="s">
        <v>35</v>
      </c>
      <c r="F279">
        <v>1</v>
      </c>
      <c r="G279">
        <v>0</v>
      </c>
      <c r="H279" t="s">
        <v>74</v>
      </c>
      <c r="I279" t="s">
        <v>139</v>
      </c>
      <c r="J279" t="s">
        <v>20</v>
      </c>
      <c r="K279" t="b">
        <v>0</v>
      </c>
      <c r="L279">
        <v>1998</v>
      </c>
      <c r="M279">
        <v>1496906382032.47</v>
      </c>
      <c r="N279">
        <v>9260481572.4246197</v>
      </c>
      <c r="O279">
        <v>1</v>
      </c>
    </row>
    <row r="280" spans="1:15" x14ac:dyDescent="0.3">
      <c r="A280" s="1">
        <v>567</v>
      </c>
      <c r="B280" s="2">
        <v>35974</v>
      </c>
      <c r="C280" s="2">
        <f>_xlfn.FLOOR.MATH([1]!Table1[[#This Row],[year]],10)</f>
        <v>1990</v>
      </c>
      <c r="D280" t="s">
        <v>43</v>
      </c>
      <c r="E280" t="s">
        <v>36</v>
      </c>
      <c r="F280">
        <v>1</v>
      </c>
      <c r="G280">
        <v>4</v>
      </c>
      <c r="H280" t="s">
        <v>74</v>
      </c>
      <c r="I280" t="s">
        <v>140</v>
      </c>
      <c r="J280" t="s">
        <v>20</v>
      </c>
      <c r="K280" t="b">
        <v>1</v>
      </c>
      <c r="L280">
        <v>1998</v>
      </c>
      <c r="M280">
        <v>218416200672.72699</v>
      </c>
      <c r="N280">
        <v>176877077513.133</v>
      </c>
      <c r="O280">
        <v>-1</v>
      </c>
    </row>
    <row r="281" spans="1:15" x14ac:dyDescent="0.3">
      <c r="A281" s="1">
        <v>568</v>
      </c>
      <c r="B281" s="2">
        <v>35975</v>
      </c>
      <c r="C281" s="2">
        <f>_xlfn.FLOOR.MATH([1]!Table1[[#This Row],[year]],10)</f>
        <v>1990</v>
      </c>
      <c r="D281" t="s">
        <v>16</v>
      </c>
      <c r="E281" t="s">
        <v>17</v>
      </c>
      <c r="F281">
        <v>2</v>
      </c>
      <c r="G281">
        <v>1</v>
      </c>
      <c r="H281" t="s">
        <v>74</v>
      </c>
      <c r="I281" t="s">
        <v>135</v>
      </c>
      <c r="J281" t="s">
        <v>20</v>
      </c>
      <c r="K281" t="b">
        <v>1</v>
      </c>
      <c r="L281">
        <v>1998</v>
      </c>
      <c r="M281">
        <v>2247760364565.9702</v>
      </c>
      <c r="N281">
        <v>557461102630.65796</v>
      </c>
      <c r="O281">
        <v>1</v>
      </c>
    </row>
    <row r="282" spans="1:15" x14ac:dyDescent="0.3">
      <c r="A282" s="1">
        <v>569</v>
      </c>
      <c r="B282" s="2">
        <v>35975</v>
      </c>
      <c r="C282" s="2">
        <f>_xlfn.FLOOR.MATH([1]!Table1[[#This Row],[year]],10)</f>
        <v>1990</v>
      </c>
      <c r="D282" t="s">
        <v>27</v>
      </c>
      <c r="E282" t="s">
        <v>61</v>
      </c>
      <c r="F282">
        <v>2</v>
      </c>
      <c r="G282">
        <v>1</v>
      </c>
      <c r="H282" t="s">
        <v>74</v>
      </c>
      <c r="I282" t="s">
        <v>136</v>
      </c>
      <c r="J282" t="s">
        <v>20</v>
      </c>
      <c r="K282" t="b">
        <v>1</v>
      </c>
      <c r="L282">
        <v>1998</v>
      </c>
      <c r="M282">
        <v>438612530548.76703</v>
      </c>
      <c r="N282">
        <v>21004077441.480202</v>
      </c>
      <c r="O282">
        <v>1</v>
      </c>
    </row>
    <row r="283" spans="1:15" x14ac:dyDescent="0.3">
      <c r="A283" s="1">
        <v>570</v>
      </c>
      <c r="B283" s="2">
        <v>35976</v>
      </c>
      <c r="C283" s="2">
        <f>_xlfn.FLOOR.MATH([1]!Table1[[#This Row],[year]],10)</f>
        <v>1990</v>
      </c>
      <c r="D283" t="s">
        <v>19</v>
      </c>
      <c r="E283" t="s">
        <v>207</v>
      </c>
      <c r="F283">
        <v>2</v>
      </c>
      <c r="G283">
        <v>2</v>
      </c>
      <c r="H283" t="s">
        <v>74</v>
      </c>
      <c r="I283" t="s">
        <v>144</v>
      </c>
      <c r="J283" t="s">
        <v>20</v>
      </c>
      <c r="K283" t="b">
        <v>1</v>
      </c>
      <c r="L283">
        <v>1998</v>
      </c>
      <c r="M283">
        <v>298948250000</v>
      </c>
      <c r="N283">
        <v>1660821464060.95</v>
      </c>
      <c r="O283">
        <v>0</v>
      </c>
    </row>
    <row r="284" spans="1:15" x14ac:dyDescent="0.3">
      <c r="A284" s="1">
        <v>571</v>
      </c>
      <c r="B284" s="2">
        <v>35976</v>
      </c>
      <c r="C284" s="2">
        <f>_xlfn.FLOOR.MATH([1]!Table1[[#This Row],[year]],10)</f>
        <v>1990</v>
      </c>
      <c r="D284" t="s">
        <v>44</v>
      </c>
      <c r="E284" t="s">
        <v>52</v>
      </c>
      <c r="F284">
        <v>0</v>
      </c>
      <c r="G284">
        <v>1</v>
      </c>
      <c r="H284" t="s">
        <v>74</v>
      </c>
      <c r="I284" t="s">
        <v>137</v>
      </c>
      <c r="J284" t="s">
        <v>20</v>
      </c>
      <c r="K284" t="b">
        <v>1</v>
      </c>
      <c r="L284">
        <v>1998</v>
      </c>
      <c r="M284">
        <v>41696091973.707603</v>
      </c>
      <c r="N284">
        <v>25890228429.721401</v>
      </c>
      <c r="O284">
        <v>-1</v>
      </c>
    </row>
    <row r="285" spans="1:15" x14ac:dyDescent="0.3">
      <c r="A285" s="1">
        <v>572</v>
      </c>
      <c r="B285" s="2">
        <v>35979</v>
      </c>
      <c r="C285" s="2">
        <f>_xlfn.FLOOR.MATH([1]!Table1[[#This Row],[year]],10)</f>
        <v>1990</v>
      </c>
      <c r="D285" t="s">
        <v>13</v>
      </c>
      <c r="E285" t="s">
        <v>36</v>
      </c>
      <c r="F285">
        <v>3</v>
      </c>
      <c r="G285">
        <v>2</v>
      </c>
      <c r="H285" t="s">
        <v>74</v>
      </c>
      <c r="I285" t="s">
        <v>141</v>
      </c>
      <c r="J285" t="s">
        <v>20</v>
      </c>
      <c r="K285" t="b">
        <v>1</v>
      </c>
      <c r="L285">
        <v>1998</v>
      </c>
      <c r="M285">
        <v>863711007325.49304</v>
      </c>
      <c r="N285">
        <v>176877077513.133</v>
      </c>
      <c r="O285">
        <v>1</v>
      </c>
    </row>
    <row r="286" spans="1:15" x14ac:dyDescent="0.3">
      <c r="A286" s="1">
        <v>573</v>
      </c>
      <c r="B286" s="2">
        <v>35979</v>
      </c>
      <c r="C286" s="2">
        <f>_xlfn.FLOOR.MATH([1]!Table1[[#This Row],[year]],10)</f>
        <v>1990</v>
      </c>
      <c r="D286" t="s">
        <v>20</v>
      </c>
      <c r="E286" t="s">
        <v>18</v>
      </c>
      <c r="F286">
        <v>0</v>
      </c>
      <c r="G286">
        <v>0</v>
      </c>
      <c r="H286" t="s">
        <v>74</v>
      </c>
      <c r="I286" t="s">
        <v>140</v>
      </c>
      <c r="J286" t="s">
        <v>20</v>
      </c>
      <c r="K286" t="b">
        <v>0</v>
      </c>
      <c r="L286">
        <v>1998</v>
      </c>
      <c r="M286">
        <v>1496906382032.47</v>
      </c>
      <c r="N286">
        <v>1272729786996.77</v>
      </c>
      <c r="O286">
        <v>0</v>
      </c>
    </row>
    <row r="287" spans="1:15" x14ac:dyDescent="0.3">
      <c r="A287" s="1">
        <v>574</v>
      </c>
      <c r="B287" s="2">
        <v>35980</v>
      </c>
      <c r="C287" s="2">
        <f>_xlfn.FLOOR.MATH([1]!Table1[[#This Row],[year]],10)</f>
        <v>1990</v>
      </c>
      <c r="D287" t="s">
        <v>16</v>
      </c>
      <c r="E287" t="s">
        <v>52</v>
      </c>
      <c r="F287">
        <v>0</v>
      </c>
      <c r="G287">
        <v>3</v>
      </c>
      <c r="H287" t="s">
        <v>74</v>
      </c>
      <c r="I287" t="s">
        <v>143</v>
      </c>
      <c r="J287" t="s">
        <v>20</v>
      </c>
      <c r="K287" t="b">
        <v>1</v>
      </c>
      <c r="L287">
        <v>1998</v>
      </c>
      <c r="M287">
        <v>2247760364565.9702</v>
      </c>
      <c r="N287">
        <v>25890228429.721401</v>
      </c>
      <c r="O287">
        <v>-1</v>
      </c>
    </row>
    <row r="288" spans="1:15" x14ac:dyDescent="0.3">
      <c r="A288" s="1">
        <v>575</v>
      </c>
      <c r="B288" s="2">
        <v>35980</v>
      </c>
      <c r="C288" s="2">
        <f>_xlfn.FLOOR.MATH([1]!Table1[[#This Row],[year]],10)</f>
        <v>1990</v>
      </c>
      <c r="D288" t="s">
        <v>27</v>
      </c>
      <c r="E288" t="s">
        <v>19</v>
      </c>
      <c r="F288">
        <v>2</v>
      </c>
      <c r="G288">
        <v>1</v>
      </c>
      <c r="H288" t="s">
        <v>74</v>
      </c>
      <c r="I288" t="s">
        <v>138</v>
      </c>
      <c r="J288" t="s">
        <v>20</v>
      </c>
      <c r="K288" t="b">
        <v>1</v>
      </c>
      <c r="L288">
        <v>1998</v>
      </c>
      <c r="M288">
        <v>438612530548.76703</v>
      </c>
      <c r="N288">
        <v>298948250000</v>
      </c>
      <c r="O288">
        <v>1</v>
      </c>
    </row>
    <row r="289" spans="1:15" x14ac:dyDescent="0.3">
      <c r="A289" s="1">
        <v>576</v>
      </c>
      <c r="B289" s="2">
        <v>35983</v>
      </c>
      <c r="C289" s="2">
        <f>_xlfn.FLOOR.MATH([1]!Table1[[#This Row],[year]],10)</f>
        <v>1990</v>
      </c>
      <c r="D289" t="s">
        <v>13</v>
      </c>
      <c r="E289" t="s">
        <v>27</v>
      </c>
      <c r="F289">
        <v>1</v>
      </c>
      <c r="G289">
        <v>1</v>
      </c>
      <c r="H289" t="s">
        <v>74</v>
      </c>
      <c r="I289" t="s">
        <v>138</v>
      </c>
      <c r="J289" t="s">
        <v>20</v>
      </c>
      <c r="K289" t="b">
        <v>1</v>
      </c>
      <c r="L289">
        <v>1998</v>
      </c>
      <c r="M289">
        <v>863711007325.49304</v>
      </c>
      <c r="N289">
        <v>438612530548.76703</v>
      </c>
      <c r="O289">
        <v>0</v>
      </c>
    </row>
    <row r="290" spans="1:15" x14ac:dyDescent="0.3">
      <c r="A290" s="1">
        <v>577</v>
      </c>
      <c r="B290" s="2">
        <v>35984</v>
      </c>
      <c r="C290" s="2">
        <f>_xlfn.FLOOR.MATH([1]!Table1[[#This Row],[year]],10)</f>
        <v>1990</v>
      </c>
      <c r="D290" t="s">
        <v>20</v>
      </c>
      <c r="E290" t="s">
        <v>52</v>
      </c>
      <c r="F290">
        <v>2</v>
      </c>
      <c r="G290">
        <v>1</v>
      </c>
      <c r="H290" t="s">
        <v>74</v>
      </c>
      <c r="I290" t="s">
        <v>140</v>
      </c>
      <c r="J290" t="s">
        <v>20</v>
      </c>
      <c r="K290" t="b">
        <v>0</v>
      </c>
      <c r="L290">
        <v>1998</v>
      </c>
      <c r="M290">
        <v>1496906382032.47</v>
      </c>
      <c r="N290">
        <v>25890228429.721401</v>
      </c>
      <c r="O290">
        <v>1</v>
      </c>
    </row>
    <row r="291" spans="1:15" x14ac:dyDescent="0.3">
      <c r="A291" s="1">
        <v>578</v>
      </c>
      <c r="B291" s="2">
        <v>35987</v>
      </c>
      <c r="C291" s="2">
        <f>_xlfn.FLOOR.MATH([1]!Table1[[#This Row],[year]],10)</f>
        <v>1990</v>
      </c>
      <c r="D291" t="s">
        <v>27</v>
      </c>
      <c r="E291" t="s">
        <v>52</v>
      </c>
      <c r="F291">
        <v>1</v>
      </c>
      <c r="G291">
        <v>2</v>
      </c>
      <c r="H291" t="s">
        <v>74</v>
      </c>
      <c r="I291" t="s">
        <v>142</v>
      </c>
      <c r="J291" t="s">
        <v>20</v>
      </c>
      <c r="K291" t="b">
        <v>1</v>
      </c>
      <c r="L291">
        <v>1998</v>
      </c>
      <c r="M291">
        <v>438612530548.76703</v>
      </c>
      <c r="N291">
        <v>25890228429.721401</v>
      </c>
      <c r="O291">
        <v>-1</v>
      </c>
    </row>
    <row r="292" spans="1:15" x14ac:dyDescent="0.3">
      <c r="A292" s="1">
        <v>579</v>
      </c>
      <c r="B292" s="2">
        <v>35988</v>
      </c>
      <c r="C292" s="2">
        <f>_xlfn.FLOOR.MATH([1]!Table1[[#This Row],[year]],10)</f>
        <v>1990</v>
      </c>
      <c r="D292" t="s">
        <v>20</v>
      </c>
      <c r="E292" t="s">
        <v>13</v>
      </c>
      <c r="F292">
        <v>3</v>
      </c>
      <c r="G292">
        <v>0</v>
      </c>
      <c r="H292" t="s">
        <v>74</v>
      </c>
      <c r="I292" t="s">
        <v>140</v>
      </c>
      <c r="J292" t="s">
        <v>20</v>
      </c>
      <c r="K292" t="b">
        <v>0</v>
      </c>
      <c r="L292">
        <v>1998</v>
      </c>
      <c r="M292">
        <v>1496906382032.47</v>
      </c>
      <c r="N292">
        <v>863711007325.49304</v>
      </c>
      <c r="O292">
        <v>1</v>
      </c>
    </row>
    <row r="293" spans="1:15" x14ac:dyDescent="0.3">
      <c r="A293" s="1">
        <v>580</v>
      </c>
      <c r="B293" s="2">
        <v>37407</v>
      </c>
      <c r="C293" s="2">
        <f>_xlfn.FLOOR.MATH([1]!Table1[[#This Row],[year]],10)</f>
        <v>2000</v>
      </c>
      <c r="D293" t="s">
        <v>20</v>
      </c>
      <c r="E293" t="s">
        <v>54</v>
      </c>
      <c r="F293">
        <v>0</v>
      </c>
      <c r="G293">
        <v>1</v>
      </c>
      <c r="H293" t="s">
        <v>74</v>
      </c>
      <c r="I293" t="s">
        <v>145</v>
      </c>
      <c r="J293" t="s">
        <v>208</v>
      </c>
      <c r="K293" t="b">
        <v>1</v>
      </c>
      <c r="L293">
        <v>2002</v>
      </c>
      <c r="M293">
        <v>1492427756382.4299</v>
      </c>
      <c r="N293">
        <v>7006402319.7585602</v>
      </c>
      <c r="O293">
        <v>-1</v>
      </c>
    </row>
    <row r="294" spans="1:15" x14ac:dyDescent="0.3">
      <c r="A294" s="1">
        <v>581</v>
      </c>
      <c r="B294" s="2">
        <v>37408</v>
      </c>
      <c r="C294" s="2">
        <f>_xlfn.FLOOR.MATH([1]!Table1[[#This Row],[year]],10)</f>
        <v>2000</v>
      </c>
      <c r="D294" t="s">
        <v>16</v>
      </c>
      <c r="E294" t="s">
        <v>45</v>
      </c>
      <c r="F294">
        <v>8</v>
      </c>
      <c r="G294">
        <v>0</v>
      </c>
      <c r="H294" t="s">
        <v>74</v>
      </c>
      <c r="I294" t="s">
        <v>146</v>
      </c>
      <c r="J294" t="s">
        <v>51</v>
      </c>
      <c r="K294" t="b">
        <v>1</v>
      </c>
      <c r="L294">
        <v>2002</v>
      </c>
      <c r="M294">
        <v>2102350798305.8899</v>
      </c>
      <c r="N294">
        <v>189605866666.66699</v>
      </c>
      <c r="O294">
        <v>1</v>
      </c>
    </row>
    <row r="295" spans="1:15" x14ac:dyDescent="0.3">
      <c r="A295" s="1">
        <v>583</v>
      </c>
      <c r="B295" s="2">
        <v>37408</v>
      </c>
      <c r="C295" s="2">
        <f>_xlfn.FLOOR.MATH([1]!Table1[[#This Row],[year]],10)</f>
        <v>2000</v>
      </c>
      <c r="D295" t="s">
        <v>26</v>
      </c>
      <c r="E295" t="s">
        <v>36</v>
      </c>
      <c r="F295">
        <v>1</v>
      </c>
      <c r="G295">
        <v>2</v>
      </c>
      <c r="H295" t="s">
        <v>74</v>
      </c>
      <c r="I295" t="s">
        <v>147</v>
      </c>
      <c r="J295" t="s">
        <v>208</v>
      </c>
      <c r="K295" t="b">
        <v>1</v>
      </c>
      <c r="L295">
        <v>2002</v>
      </c>
      <c r="M295">
        <v>13606515722.586399</v>
      </c>
      <c r="N295">
        <v>178788209558.311</v>
      </c>
      <c r="O295">
        <v>1</v>
      </c>
    </row>
    <row r="296" spans="1:15" x14ac:dyDescent="0.3">
      <c r="A296" s="1">
        <v>584</v>
      </c>
      <c r="B296" s="2">
        <v>37409</v>
      </c>
      <c r="C296" s="2">
        <f>_xlfn.FLOOR.MATH([1]!Table1[[#This Row],[year]],10)</f>
        <v>2000</v>
      </c>
      <c r="D296" t="s">
        <v>19</v>
      </c>
      <c r="E296" t="s">
        <v>43</v>
      </c>
      <c r="F296">
        <v>1</v>
      </c>
      <c r="G296">
        <v>0</v>
      </c>
      <c r="H296" t="s">
        <v>74</v>
      </c>
      <c r="I296" t="s">
        <v>148</v>
      </c>
      <c r="J296" t="s">
        <v>51</v>
      </c>
      <c r="K296" t="b">
        <v>1</v>
      </c>
      <c r="L296">
        <v>2002</v>
      </c>
      <c r="M296">
        <v>97724004251.860199</v>
      </c>
      <c r="N296">
        <v>95054059302.699493</v>
      </c>
      <c r="O296">
        <v>1</v>
      </c>
    </row>
    <row r="297" spans="1:15" x14ac:dyDescent="0.3">
      <c r="A297" s="1">
        <v>585</v>
      </c>
      <c r="B297" s="2">
        <v>37409</v>
      </c>
      <c r="C297" s="2">
        <f>_xlfn.FLOOR.MATH([1]!Table1[[#This Row],[year]],10)</f>
        <v>2000</v>
      </c>
      <c r="D297" t="s">
        <v>207</v>
      </c>
      <c r="E297" t="s">
        <v>25</v>
      </c>
      <c r="F297">
        <v>1</v>
      </c>
      <c r="G297">
        <v>1</v>
      </c>
      <c r="H297" t="s">
        <v>74</v>
      </c>
      <c r="I297" t="s">
        <v>152</v>
      </c>
      <c r="J297" t="s">
        <v>51</v>
      </c>
      <c r="K297" t="b">
        <v>1</v>
      </c>
      <c r="L297">
        <v>2002</v>
      </c>
      <c r="M297">
        <v>1790536570743.4099</v>
      </c>
      <c r="N297">
        <v>267371907446.776</v>
      </c>
      <c r="O297">
        <v>0</v>
      </c>
    </row>
    <row r="298" spans="1:15" x14ac:dyDescent="0.3">
      <c r="A298" s="1">
        <v>586</v>
      </c>
      <c r="B298" s="2">
        <v>37409</v>
      </c>
      <c r="C298" s="2">
        <f>_xlfn.FLOOR.MATH([1]!Table1[[#This Row],[year]],10)</f>
        <v>2000</v>
      </c>
      <c r="D298" t="s">
        <v>35</v>
      </c>
      <c r="E298" t="s">
        <v>50</v>
      </c>
      <c r="F298">
        <v>2</v>
      </c>
      <c r="G298">
        <v>2</v>
      </c>
      <c r="H298" t="s">
        <v>74</v>
      </c>
      <c r="I298" t="s">
        <v>149</v>
      </c>
      <c r="J298" t="s">
        <v>208</v>
      </c>
      <c r="K298" t="b">
        <v>1</v>
      </c>
      <c r="L298">
        <v>2002</v>
      </c>
      <c r="M298">
        <v>7196260656.8455601</v>
      </c>
      <c r="N298">
        <v>129087556612.44901</v>
      </c>
      <c r="O298">
        <v>0</v>
      </c>
    </row>
    <row r="299" spans="1:15" x14ac:dyDescent="0.3">
      <c r="A299" s="1">
        <v>587</v>
      </c>
      <c r="B299" s="2">
        <v>37409</v>
      </c>
      <c r="C299" s="2">
        <f>_xlfn.FLOOR.MATH([1]!Table1[[#This Row],[year]],10)</f>
        <v>2000</v>
      </c>
      <c r="D299" t="s">
        <v>21</v>
      </c>
      <c r="E299" t="s">
        <v>55</v>
      </c>
      <c r="F299">
        <v>3</v>
      </c>
      <c r="G299">
        <v>1</v>
      </c>
      <c r="H299" t="s">
        <v>74</v>
      </c>
      <c r="I299" t="s">
        <v>150</v>
      </c>
      <c r="J299" t="s">
        <v>208</v>
      </c>
      <c r="K299" t="b">
        <v>1</v>
      </c>
      <c r="L299">
        <v>2002</v>
      </c>
      <c r="M299">
        <v>708938227243.92297</v>
      </c>
      <c r="N299">
        <v>23214593516.209499</v>
      </c>
      <c r="O299">
        <v>1</v>
      </c>
    </row>
    <row r="300" spans="1:15" x14ac:dyDescent="0.3">
      <c r="A300" s="1">
        <v>589</v>
      </c>
      <c r="B300" s="2">
        <v>37410</v>
      </c>
      <c r="C300" s="2">
        <f>_xlfn.FLOOR.MATH([1]!Table1[[#This Row],[year]],10)</f>
        <v>2000</v>
      </c>
      <c r="D300" t="s">
        <v>52</v>
      </c>
      <c r="E300" t="s">
        <v>17</v>
      </c>
      <c r="F300">
        <v>0</v>
      </c>
      <c r="G300">
        <v>1</v>
      </c>
      <c r="H300" t="s">
        <v>74</v>
      </c>
      <c r="I300" t="s">
        <v>151</v>
      </c>
      <c r="J300" t="s">
        <v>51</v>
      </c>
      <c r="K300" t="b">
        <v>1</v>
      </c>
      <c r="L300">
        <v>2002</v>
      </c>
      <c r="M300">
        <v>26757722428.678101</v>
      </c>
      <c r="N300">
        <v>810666116401.91504</v>
      </c>
      <c r="O300">
        <v>1</v>
      </c>
    </row>
    <row r="301" spans="1:15" x14ac:dyDescent="0.3">
      <c r="A301" s="1">
        <v>590</v>
      </c>
      <c r="B301" s="2">
        <v>37410</v>
      </c>
      <c r="C301" s="2">
        <f>_xlfn.FLOOR.MATH([1]!Table1[[#This Row],[year]],10)</f>
        <v>2000</v>
      </c>
      <c r="D301" t="s">
        <v>18</v>
      </c>
      <c r="E301" t="s">
        <v>57</v>
      </c>
      <c r="F301">
        <v>2</v>
      </c>
      <c r="G301">
        <v>0</v>
      </c>
      <c r="H301" t="s">
        <v>74</v>
      </c>
      <c r="I301" t="s">
        <v>146</v>
      </c>
      <c r="J301" t="s">
        <v>51</v>
      </c>
      <c r="K301" t="b">
        <v>1</v>
      </c>
      <c r="L301">
        <v>2002</v>
      </c>
      <c r="M301">
        <v>1281746271196.04</v>
      </c>
      <c r="N301">
        <v>27054197000</v>
      </c>
      <c r="O301">
        <v>1</v>
      </c>
    </row>
    <row r="302" spans="1:15" x14ac:dyDescent="0.3">
      <c r="A302" s="1">
        <v>591</v>
      </c>
      <c r="B302" s="2">
        <v>37411</v>
      </c>
      <c r="C302" s="2">
        <f>_xlfn.FLOOR.MATH([1]!Table1[[#This Row],[year]],10)</f>
        <v>2000</v>
      </c>
      <c r="D302" t="s">
        <v>231</v>
      </c>
      <c r="E302" t="s">
        <v>56</v>
      </c>
      <c r="F302">
        <v>0</v>
      </c>
      <c r="G302">
        <v>2</v>
      </c>
      <c r="H302" t="s">
        <v>74</v>
      </c>
      <c r="I302" t="s">
        <v>150</v>
      </c>
      <c r="J302" t="s">
        <v>208</v>
      </c>
      <c r="K302" t="b">
        <v>1</v>
      </c>
      <c r="L302">
        <v>2002</v>
      </c>
      <c r="M302">
        <v>1489821682050.54</v>
      </c>
      <c r="N302">
        <v>16578820687.288099</v>
      </c>
      <c r="O302">
        <v>-1</v>
      </c>
    </row>
    <row r="303" spans="1:15" x14ac:dyDescent="0.3">
      <c r="A303" s="1">
        <v>592</v>
      </c>
      <c r="B303" s="2">
        <v>37411</v>
      </c>
      <c r="C303" s="2">
        <f>_xlfn.FLOOR.MATH([1]!Table1[[#This Row],[year]],10)</f>
        <v>2000</v>
      </c>
      <c r="D303" t="s">
        <v>51</v>
      </c>
      <c r="E303" t="s">
        <v>23</v>
      </c>
      <c r="F303">
        <v>2</v>
      </c>
      <c r="G303">
        <v>2</v>
      </c>
      <c r="H303" t="s">
        <v>74</v>
      </c>
      <c r="I303" t="s">
        <v>152</v>
      </c>
      <c r="J303" t="s">
        <v>51</v>
      </c>
      <c r="K303" t="b">
        <v>0</v>
      </c>
      <c r="L303">
        <v>2002</v>
      </c>
      <c r="M303">
        <v>4182846045873.6099</v>
      </c>
      <c r="N303">
        <v>258383599375.177</v>
      </c>
      <c r="O303">
        <v>0</v>
      </c>
    </row>
    <row r="304" spans="1:15" x14ac:dyDescent="0.3">
      <c r="A304" s="1">
        <v>596</v>
      </c>
      <c r="B304" s="2">
        <v>37412</v>
      </c>
      <c r="C304" s="2">
        <f>_xlfn.FLOOR.MATH([1]!Table1[[#This Row],[year]],10)</f>
        <v>2000</v>
      </c>
      <c r="D304" t="s">
        <v>41</v>
      </c>
      <c r="E304" t="s">
        <v>38</v>
      </c>
      <c r="F304">
        <v>3</v>
      </c>
      <c r="G304">
        <v>2</v>
      </c>
      <c r="H304" t="s">
        <v>74</v>
      </c>
      <c r="I304" t="s">
        <v>153</v>
      </c>
      <c r="J304" t="s">
        <v>208</v>
      </c>
      <c r="K304" t="b">
        <v>1</v>
      </c>
      <c r="L304">
        <v>2002</v>
      </c>
      <c r="M304">
        <v>10929112955000</v>
      </c>
      <c r="N304">
        <v>134795565549.41901</v>
      </c>
      <c r="O304">
        <v>1</v>
      </c>
    </row>
    <row r="305" spans="1:15" x14ac:dyDescent="0.3">
      <c r="A305" s="1">
        <v>597</v>
      </c>
      <c r="B305" s="2">
        <v>37413</v>
      </c>
      <c r="C305" s="2">
        <f>_xlfn.FLOOR.MATH([1]!Table1[[#This Row],[year]],10)</f>
        <v>2000</v>
      </c>
      <c r="D305" t="s">
        <v>40</v>
      </c>
      <c r="E305" t="s">
        <v>45</v>
      </c>
      <c r="F305">
        <v>1</v>
      </c>
      <c r="G305">
        <v>0</v>
      </c>
      <c r="H305" t="s">
        <v>74</v>
      </c>
      <c r="I305" t="s">
        <v>152</v>
      </c>
      <c r="J305" t="s">
        <v>51</v>
      </c>
      <c r="K305" t="b">
        <v>1</v>
      </c>
      <c r="L305">
        <v>2002</v>
      </c>
      <c r="M305">
        <v>12417251350.488199</v>
      </c>
      <c r="N305">
        <v>189605866666.66699</v>
      </c>
      <c r="O305">
        <v>-1</v>
      </c>
    </row>
    <row r="306" spans="1:15" x14ac:dyDescent="0.3">
      <c r="A306" s="1">
        <v>598</v>
      </c>
      <c r="B306" s="2">
        <v>37413</v>
      </c>
      <c r="C306" s="2">
        <f>_xlfn.FLOOR.MATH([1]!Table1[[#This Row],[year]],10)</f>
        <v>2000</v>
      </c>
      <c r="D306" t="s">
        <v>36</v>
      </c>
      <c r="E306" t="s">
        <v>54</v>
      </c>
      <c r="F306">
        <v>1</v>
      </c>
      <c r="G306">
        <v>1</v>
      </c>
      <c r="H306" t="s">
        <v>74</v>
      </c>
      <c r="I306" t="s">
        <v>154</v>
      </c>
      <c r="J306" t="s">
        <v>208</v>
      </c>
      <c r="K306" t="b">
        <v>1</v>
      </c>
      <c r="L306">
        <v>2002</v>
      </c>
      <c r="M306">
        <v>178788209558.311</v>
      </c>
      <c r="N306">
        <v>7006402319.7585602</v>
      </c>
      <c r="O306">
        <v>0</v>
      </c>
    </row>
    <row r="307" spans="1:15" x14ac:dyDescent="0.3">
      <c r="A307" s="1">
        <v>599</v>
      </c>
      <c r="B307" s="2">
        <v>37413</v>
      </c>
      <c r="C307" s="2">
        <f>_xlfn.FLOOR.MATH([1]!Table1[[#This Row],[year]],10)</f>
        <v>2000</v>
      </c>
      <c r="D307" t="s">
        <v>20</v>
      </c>
      <c r="E307" t="s">
        <v>26</v>
      </c>
      <c r="F307">
        <v>0</v>
      </c>
      <c r="G307">
        <v>0</v>
      </c>
      <c r="H307" t="s">
        <v>74</v>
      </c>
      <c r="I307" t="s">
        <v>149</v>
      </c>
      <c r="J307" t="s">
        <v>208</v>
      </c>
      <c r="K307" t="b">
        <v>1</v>
      </c>
      <c r="L307">
        <v>2002</v>
      </c>
      <c r="M307">
        <v>1492427756382.4299</v>
      </c>
      <c r="N307">
        <v>13606515722.586399</v>
      </c>
      <c r="O307">
        <v>0</v>
      </c>
    </row>
    <row r="308" spans="1:15" x14ac:dyDescent="0.3">
      <c r="A308" s="1">
        <v>600</v>
      </c>
      <c r="B308" s="2">
        <v>37414</v>
      </c>
      <c r="C308" s="2">
        <f>_xlfn.FLOOR.MATH([1]!Table1[[#This Row],[year]],10)</f>
        <v>2000</v>
      </c>
      <c r="D308" t="s">
        <v>19</v>
      </c>
      <c r="E308" t="s">
        <v>207</v>
      </c>
      <c r="F308">
        <v>0</v>
      </c>
      <c r="G308">
        <v>1</v>
      </c>
      <c r="H308" t="s">
        <v>74</v>
      </c>
      <c r="I308" t="s">
        <v>146</v>
      </c>
      <c r="J308" t="s">
        <v>51</v>
      </c>
      <c r="K308" t="b">
        <v>1</v>
      </c>
      <c r="L308">
        <v>2002</v>
      </c>
      <c r="M308">
        <v>97724004251.860199</v>
      </c>
      <c r="N308">
        <v>1790536570743.4099</v>
      </c>
      <c r="O308">
        <v>1</v>
      </c>
    </row>
    <row r="309" spans="1:15" x14ac:dyDescent="0.3">
      <c r="A309" s="1">
        <v>601</v>
      </c>
      <c r="B309" s="2">
        <v>37414</v>
      </c>
      <c r="C309" s="2">
        <f>_xlfn.FLOOR.MATH([1]!Table1[[#This Row],[year]],10)</f>
        <v>2000</v>
      </c>
      <c r="D309" t="s">
        <v>21</v>
      </c>
      <c r="E309" t="s">
        <v>35</v>
      </c>
      <c r="F309">
        <v>3</v>
      </c>
      <c r="G309">
        <v>1</v>
      </c>
      <c r="H309" t="s">
        <v>74</v>
      </c>
      <c r="I309" t="s">
        <v>155</v>
      </c>
      <c r="J309" t="s">
        <v>208</v>
      </c>
      <c r="K309" t="b">
        <v>1</v>
      </c>
      <c r="L309">
        <v>2002</v>
      </c>
      <c r="M309">
        <v>708938227243.92297</v>
      </c>
      <c r="N309">
        <v>7196260656.8455601</v>
      </c>
      <c r="O309">
        <v>1</v>
      </c>
    </row>
    <row r="310" spans="1:15" x14ac:dyDescent="0.3">
      <c r="A310" s="1">
        <v>602</v>
      </c>
      <c r="B310" s="2">
        <v>37414</v>
      </c>
      <c r="C310" s="2">
        <f>_xlfn.FLOOR.MATH([1]!Table1[[#This Row],[year]],10)</f>
        <v>2000</v>
      </c>
      <c r="D310" t="s">
        <v>25</v>
      </c>
      <c r="E310" t="s">
        <v>43</v>
      </c>
      <c r="F310">
        <v>2</v>
      </c>
      <c r="G310">
        <v>1</v>
      </c>
      <c r="H310" t="s">
        <v>74</v>
      </c>
      <c r="I310" t="s">
        <v>156</v>
      </c>
      <c r="J310" t="s">
        <v>51</v>
      </c>
      <c r="K310" t="b">
        <v>1</v>
      </c>
      <c r="L310">
        <v>2002</v>
      </c>
      <c r="M310">
        <v>267371907446.776</v>
      </c>
      <c r="N310">
        <v>95054059302.699493</v>
      </c>
      <c r="O310">
        <v>1</v>
      </c>
    </row>
    <row r="311" spans="1:15" x14ac:dyDescent="0.3">
      <c r="A311" s="1">
        <v>603</v>
      </c>
      <c r="B311" s="2">
        <v>37415</v>
      </c>
      <c r="C311" s="2">
        <f>_xlfn.FLOOR.MATH([1]!Table1[[#This Row],[year]],10)</f>
        <v>2000</v>
      </c>
      <c r="D311" t="s">
        <v>13</v>
      </c>
      <c r="E311" t="s">
        <v>231</v>
      </c>
      <c r="F311">
        <v>4</v>
      </c>
      <c r="G311">
        <v>0</v>
      </c>
      <c r="H311" t="s">
        <v>74</v>
      </c>
      <c r="I311" t="s">
        <v>161</v>
      </c>
      <c r="J311" t="s">
        <v>208</v>
      </c>
      <c r="K311" t="b">
        <v>1</v>
      </c>
      <c r="L311">
        <v>2002</v>
      </c>
      <c r="M311">
        <v>509795270685.19</v>
      </c>
      <c r="N311">
        <v>1489821682050.54</v>
      </c>
      <c r="O311">
        <v>-1</v>
      </c>
    </row>
    <row r="312" spans="1:15" x14ac:dyDescent="0.3">
      <c r="A312" s="1">
        <v>604</v>
      </c>
      <c r="B312" s="2">
        <v>37415</v>
      </c>
      <c r="C312" s="2">
        <f>_xlfn.FLOOR.MATH([1]!Table1[[#This Row],[year]],10)</f>
        <v>2000</v>
      </c>
      <c r="D312" t="s">
        <v>18</v>
      </c>
      <c r="E312" t="s">
        <v>52</v>
      </c>
      <c r="F312">
        <v>1</v>
      </c>
      <c r="G312">
        <v>2</v>
      </c>
      <c r="H312" t="s">
        <v>74</v>
      </c>
      <c r="I312" t="s">
        <v>148</v>
      </c>
      <c r="J312" t="s">
        <v>51</v>
      </c>
      <c r="K312" t="b">
        <v>1</v>
      </c>
      <c r="L312">
        <v>2002</v>
      </c>
      <c r="M312">
        <v>1281746271196.04</v>
      </c>
      <c r="N312">
        <v>26757722428.678101</v>
      </c>
      <c r="O312">
        <v>-1</v>
      </c>
    </row>
    <row r="313" spans="1:15" x14ac:dyDescent="0.3">
      <c r="A313" s="1">
        <v>605</v>
      </c>
      <c r="B313" s="2">
        <v>37415</v>
      </c>
      <c r="C313" s="2">
        <f>_xlfn.FLOOR.MATH([1]!Table1[[#This Row],[year]],10)</f>
        <v>2000</v>
      </c>
      <c r="D313" t="s">
        <v>50</v>
      </c>
      <c r="E313" t="s">
        <v>55</v>
      </c>
      <c r="F313">
        <v>1</v>
      </c>
      <c r="G313">
        <v>0</v>
      </c>
      <c r="H313" t="s">
        <v>74</v>
      </c>
      <c r="I313" t="s">
        <v>154</v>
      </c>
      <c r="J313" t="s">
        <v>208</v>
      </c>
      <c r="K313" t="b">
        <v>1</v>
      </c>
      <c r="L313">
        <v>2002</v>
      </c>
      <c r="M313">
        <v>129087556612.44901</v>
      </c>
      <c r="N313">
        <v>23214593516.209499</v>
      </c>
      <c r="O313">
        <v>1</v>
      </c>
    </row>
    <row r="314" spans="1:15" x14ac:dyDescent="0.3">
      <c r="A314" s="1">
        <v>608</v>
      </c>
      <c r="B314" s="2">
        <v>37416</v>
      </c>
      <c r="C314" s="2">
        <f>_xlfn.FLOOR.MATH([1]!Table1[[#This Row],[year]],10)</f>
        <v>2000</v>
      </c>
      <c r="D314" t="s">
        <v>17</v>
      </c>
      <c r="E314" t="s">
        <v>57</v>
      </c>
      <c r="F314">
        <v>2</v>
      </c>
      <c r="G314">
        <v>1</v>
      </c>
      <c r="H314" t="s">
        <v>74</v>
      </c>
      <c r="I314" t="s">
        <v>157</v>
      </c>
      <c r="J314" t="s">
        <v>51</v>
      </c>
      <c r="K314" t="b">
        <v>1</v>
      </c>
      <c r="L314">
        <v>2002</v>
      </c>
      <c r="M314">
        <v>810666116401.91504</v>
      </c>
      <c r="N314">
        <v>27054197000</v>
      </c>
      <c r="O314">
        <v>1</v>
      </c>
    </row>
    <row r="315" spans="1:15" x14ac:dyDescent="0.3">
      <c r="A315" s="1">
        <v>610</v>
      </c>
      <c r="B315" s="2">
        <v>37417</v>
      </c>
      <c r="C315" s="2">
        <f>_xlfn.FLOOR.MATH([1]!Table1[[#This Row],[year]],10)</f>
        <v>2000</v>
      </c>
      <c r="D315" t="s">
        <v>38</v>
      </c>
      <c r="E315" t="s">
        <v>58</v>
      </c>
      <c r="F315">
        <v>4</v>
      </c>
      <c r="G315">
        <v>0</v>
      </c>
      <c r="H315" t="s">
        <v>74</v>
      </c>
      <c r="I315" t="s">
        <v>155</v>
      </c>
      <c r="J315" t="s">
        <v>208</v>
      </c>
      <c r="K315" t="b">
        <v>1</v>
      </c>
      <c r="L315">
        <v>2002</v>
      </c>
      <c r="M315">
        <v>134795565549.41901</v>
      </c>
      <c r="N315">
        <v>199694463255.56699</v>
      </c>
      <c r="O315">
        <v>-1</v>
      </c>
    </row>
    <row r="316" spans="1:15" x14ac:dyDescent="0.3">
      <c r="A316" s="1">
        <v>611</v>
      </c>
      <c r="B316" s="2">
        <v>37417</v>
      </c>
      <c r="C316" s="2">
        <f>_xlfn.FLOOR.MATH([1]!Table1[[#This Row],[year]],10)</f>
        <v>2000</v>
      </c>
      <c r="D316" t="s">
        <v>53</v>
      </c>
      <c r="E316" t="s">
        <v>23</v>
      </c>
      <c r="F316">
        <v>1</v>
      </c>
      <c r="G316">
        <v>1</v>
      </c>
      <c r="H316" t="s">
        <v>74</v>
      </c>
      <c r="I316" t="s">
        <v>158</v>
      </c>
      <c r="J316" t="s">
        <v>51</v>
      </c>
      <c r="K316" t="b">
        <v>1</v>
      </c>
      <c r="L316">
        <v>2002</v>
      </c>
      <c r="M316">
        <v>23141616604.5242</v>
      </c>
      <c r="N316">
        <v>258383599375.177</v>
      </c>
      <c r="O316">
        <v>0</v>
      </c>
    </row>
    <row r="317" spans="1:15" x14ac:dyDescent="0.3">
      <c r="A317" s="1">
        <v>612</v>
      </c>
      <c r="B317" s="2">
        <v>37418</v>
      </c>
      <c r="C317" s="2">
        <f>_xlfn.FLOOR.MATH([1]!Table1[[#This Row],[year]],10)</f>
        <v>2000</v>
      </c>
      <c r="D317" t="s">
        <v>40</v>
      </c>
      <c r="E317" t="s">
        <v>16</v>
      </c>
      <c r="F317">
        <v>0</v>
      </c>
      <c r="G317">
        <v>2</v>
      </c>
      <c r="H317" t="s">
        <v>74</v>
      </c>
      <c r="I317" t="s">
        <v>159</v>
      </c>
      <c r="J317" t="s">
        <v>51</v>
      </c>
      <c r="K317" t="b">
        <v>1</v>
      </c>
      <c r="L317">
        <v>2002</v>
      </c>
      <c r="M317">
        <v>12417251350.488199</v>
      </c>
      <c r="N317">
        <v>2102350798305.8899</v>
      </c>
      <c r="O317">
        <v>1</v>
      </c>
    </row>
    <row r="318" spans="1:15" x14ac:dyDescent="0.3">
      <c r="A318" s="1">
        <v>613</v>
      </c>
      <c r="B318" s="2">
        <v>37418</v>
      </c>
      <c r="C318" s="2">
        <f>_xlfn.FLOOR.MATH([1]!Table1[[#This Row],[year]],10)</f>
        <v>2000</v>
      </c>
      <c r="D318" t="s">
        <v>36</v>
      </c>
      <c r="E318" t="s">
        <v>20</v>
      </c>
      <c r="F318">
        <v>2</v>
      </c>
      <c r="G318">
        <v>0</v>
      </c>
      <c r="H318" t="s">
        <v>74</v>
      </c>
      <c r="I318" t="s">
        <v>160</v>
      </c>
      <c r="J318" t="s">
        <v>208</v>
      </c>
      <c r="K318" t="b">
        <v>1</v>
      </c>
      <c r="L318">
        <v>2002</v>
      </c>
      <c r="M318">
        <v>178788209558.311</v>
      </c>
      <c r="N318">
        <v>1492427756382.4299</v>
      </c>
      <c r="O318">
        <v>-1</v>
      </c>
    </row>
    <row r="319" spans="1:15" x14ac:dyDescent="0.3">
      <c r="A319" s="1">
        <v>615</v>
      </c>
      <c r="B319" s="2">
        <v>37418</v>
      </c>
      <c r="C319" s="2">
        <f>_xlfn.FLOOR.MATH([1]!Table1[[#This Row],[year]],10)</f>
        <v>2000</v>
      </c>
      <c r="D319" t="s">
        <v>54</v>
      </c>
      <c r="E319" t="s">
        <v>26</v>
      </c>
      <c r="F319">
        <v>3</v>
      </c>
      <c r="G319">
        <v>3</v>
      </c>
      <c r="H319" t="s">
        <v>74</v>
      </c>
      <c r="I319" t="s">
        <v>153</v>
      </c>
      <c r="J319" t="s">
        <v>208</v>
      </c>
      <c r="K319" t="b">
        <v>1</v>
      </c>
      <c r="L319">
        <v>2002</v>
      </c>
      <c r="M319">
        <v>7006402319.7585602</v>
      </c>
      <c r="N319">
        <v>13606515722.586399</v>
      </c>
      <c r="O319">
        <v>0</v>
      </c>
    </row>
    <row r="320" spans="1:15" x14ac:dyDescent="0.3">
      <c r="A320" s="1">
        <v>616</v>
      </c>
      <c r="B320" s="2">
        <v>37419</v>
      </c>
      <c r="C320" s="2">
        <f>_xlfn.FLOOR.MATH([1]!Table1[[#This Row],[year]],10)</f>
        <v>2000</v>
      </c>
      <c r="D320" t="s">
        <v>43</v>
      </c>
      <c r="E320" t="s">
        <v>207</v>
      </c>
      <c r="F320">
        <v>0</v>
      </c>
      <c r="G320">
        <v>0</v>
      </c>
      <c r="H320" t="s">
        <v>74</v>
      </c>
      <c r="I320" t="s">
        <v>164</v>
      </c>
      <c r="J320" t="s">
        <v>51</v>
      </c>
      <c r="K320" t="b">
        <v>1</v>
      </c>
      <c r="L320">
        <v>2002</v>
      </c>
      <c r="M320">
        <v>95054059302.699493</v>
      </c>
      <c r="N320">
        <v>1790536570743.4099</v>
      </c>
      <c r="O320">
        <v>0</v>
      </c>
    </row>
    <row r="321" spans="1:15" x14ac:dyDescent="0.3">
      <c r="A321" s="1">
        <v>617</v>
      </c>
      <c r="B321" s="2">
        <v>37419</v>
      </c>
      <c r="C321" s="2">
        <f>_xlfn.FLOOR.MATH([1]!Table1[[#This Row],[year]],10)</f>
        <v>2000</v>
      </c>
      <c r="D321" t="s">
        <v>55</v>
      </c>
      <c r="E321" t="s">
        <v>35</v>
      </c>
      <c r="F321">
        <v>1</v>
      </c>
      <c r="G321">
        <v>3</v>
      </c>
      <c r="H321" t="s">
        <v>74</v>
      </c>
      <c r="I321" t="s">
        <v>161</v>
      </c>
      <c r="J321" t="s">
        <v>208</v>
      </c>
      <c r="K321" t="b">
        <v>1</v>
      </c>
      <c r="L321">
        <v>2002</v>
      </c>
      <c r="M321">
        <v>23214593516.209499</v>
      </c>
      <c r="N321">
        <v>7196260656.8455601</v>
      </c>
      <c r="O321">
        <v>-1</v>
      </c>
    </row>
    <row r="322" spans="1:15" x14ac:dyDescent="0.3">
      <c r="A322" s="1">
        <v>618</v>
      </c>
      <c r="B322" s="2">
        <v>37419</v>
      </c>
      <c r="C322" s="2">
        <f>_xlfn.FLOOR.MATH([1]!Table1[[#This Row],[year]],10)</f>
        <v>2000</v>
      </c>
      <c r="D322" t="s">
        <v>50</v>
      </c>
      <c r="E322" t="s">
        <v>21</v>
      </c>
      <c r="F322">
        <v>2</v>
      </c>
      <c r="G322">
        <v>3</v>
      </c>
      <c r="H322" t="s">
        <v>74</v>
      </c>
      <c r="I322" t="s">
        <v>162</v>
      </c>
      <c r="J322" t="s">
        <v>208</v>
      </c>
      <c r="K322" t="b">
        <v>1</v>
      </c>
      <c r="L322">
        <v>2002</v>
      </c>
      <c r="M322">
        <v>129087556612.44901</v>
      </c>
      <c r="N322">
        <v>708938227243.92297</v>
      </c>
      <c r="O322">
        <v>1</v>
      </c>
    </row>
    <row r="323" spans="1:15" x14ac:dyDescent="0.3">
      <c r="A323" s="1">
        <v>619</v>
      </c>
      <c r="B323" s="2">
        <v>37419</v>
      </c>
      <c r="C323" s="2">
        <f>_xlfn.FLOOR.MATH([1]!Table1[[#This Row],[year]],10)</f>
        <v>2000</v>
      </c>
      <c r="D323" t="s">
        <v>25</v>
      </c>
      <c r="E323" t="s">
        <v>19</v>
      </c>
      <c r="F323">
        <v>1</v>
      </c>
      <c r="G323">
        <v>1</v>
      </c>
      <c r="H323" t="s">
        <v>74</v>
      </c>
      <c r="I323" t="s">
        <v>157</v>
      </c>
      <c r="J323" t="s">
        <v>51</v>
      </c>
      <c r="K323" t="b">
        <v>1</v>
      </c>
      <c r="L323">
        <v>2002</v>
      </c>
      <c r="M323">
        <v>267371907446.776</v>
      </c>
      <c r="N323">
        <v>97724004251.860199</v>
      </c>
      <c r="O323">
        <v>0</v>
      </c>
    </row>
    <row r="324" spans="1:15" x14ac:dyDescent="0.3">
      <c r="A324" s="1">
        <v>620</v>
      </c>
      <c r="B324" s="2">
        <v>37420</v>
      </c>
      <c r="C324" s="2">
        <f>_xlfn.FLOOR.MATH([1]!Table1[[#This Row],[year]],10)</f>
        <v>2000</v>
      </c>
      <c r="D324" t="s">
        <v>56</v>
      </c>
      <c r="E324" t="s">
        <v>13</v>
      </c>
      <c r="F324">
        <v>2</v>
      </c>
      <c r="G324">
        <v>5</v>
      </c>
      <c r="H324" t="s">
        <v>74</v>
      </c>
      <c r="I324" t="s">
        <v>153</v>
      </c>
      <c r="J324" t="s">
        <v>208</v>
      </c>
      <c r="K324" t="b">
        <v>1</v>
      </c>
      <c r="L324">
        <v>2002</v>
      </c>
      <c r="M324">
        <v>16578820687.288099</v>
      </c>
      <c r="N324">
        <v>509795270685.19</v>
      </c>
      <c r="O324">
        <v>1</v>
      </c>
    </row>
    <row r="325" spans="1:15" x14ac:dyDescent="0.3">
      <c r="A325" s="1">
        <v>621</v>
      </c>
      <c r="B325" s="2">
        <v>37420</v>
      </c>
      <c r="C325" s="2">
        <f>_xlfn.FLOOR.MATH([1]!Table1[[#This Row],[year]],10)</f>
        <v>2000</v>
      </c>
      <c r="D325" t="s">
        <v>57</v>
      </c>
      <c r="E325" t="s">
        <v>52</v>
      </c>
      <c r="F325">
        <v>1</v>
      </c>
      <c r="G325">
        <v>0</v>
      </c>
      <c r="H325" t="s">
        <v>74</v>
      </c>
      <c r="I325" t="s">
        <v>163</v>
      </c>
      <c r="J325" t="s">
        <v>51</v>
      </c>
      <c r="K325" t="b">
        <v>1</v>
      </c>
      <c r="L325">
        <v>2002</v>
      </c>
      <c r="M325">
        <v>27054197000</v>
      </c>
      <c r="N325">
        <v>26757722428.678101</v>
      </c>
      <c r="O325">
        <v>1</v>
      </c>
    </row>
    <row r="326" spans="1:15" x14ac:dyDescent="0.3">
      <c r="A326" s="1">
        <v>622</v>
      </c>
      <c r="B326" s="2">
        <v>37420</v>
      </c>
      <c r="C326" s="2">
        <f>_xlfn.FLOOR.MATH([1]!Table1[[#This Row],[year]],10)</f>
        <v>2000</v>
      </c>
      <c r="D326" t="s">
        <v>17</v>
      </c>
      <c r="E326" t="s">
        <v>18</v>
      </c>
      <c r="F326">
        <v>1</v>
      </c>
      <c r="G326">
        <v>1</v>
      </c>
      <c r="H326" t="s">
        <v>74</v>
      </c>
      <c r="I326" t="s">
        <v>158</v>
      </c>
      <c r="J326" t="s">
        <v>51</v>
      </c>
      <c r="K326" t="b">
        <v>1</v>
      </c>
      <c r="L326">
        <v>2002</v>
      </c>
      <c r="M326">
        <v>810666116401.91504</v>
      </c>
      <c r="N326">
        <v>1281746271196.04</v>
      </c>
      <c r="O326">
        <v>0</v>
      </c>
    </row>
    <row r="327" spans="1:15" x14ac:dyDescent="0.3">
      <c r="A327" s="1">
        <v>625</v>
      </c>
      <c r="B327" s="2">
        <v>37421</v>
      </c>
      <c r="C327" s="2">
        <f>_xlfn.FLOOR.MATH([1]!Table1[[#This Row],[year]],10)</f>
        <v>2000</v>
      </c>
      <c r="D327" t="s">
        <v>51</v>
      </c>
      <c r="E327" t="s">
        <v>53</v>
      </c>
      <c r="F327">
        <v>2</v>
      </c>
      <c r="G327">
        <v>0</v>
      </c>
      <c r="H327" t="s">
        <v>74</v>
      </c>
      <c r="I327" t="s">
        <v>164</v>
      </c>
      <c r="J327" t="s">
        <v>51</v>
      </c>
      <c r="K327" t="b">
        <v>0</v>
      </c>
      <c r="L327">
        <v>2002</v>
      </c>
      <c r="M327">
        <v>4182846045873.6099</v>
      </c>
      <c r="N327">
        <v>23141616604.5242</v>
      </c>
      <c r="O327">
        <v>1</v>
      </c>
    </row>
    <row r="328" spans="1:15" x14ac:dyDescent="0.3">
      <c r="A328" s="1">
        <v>627</v>
      </c>
      <c r="B328" s="2">
        <v>37421</v>
      </c>
      <c r="C328" s="2">
        <f>_xlfn.FLOOR.MATH([1]!Table1[[#This Row],[year]],10)</f>
        <v>2000</v>
      </c>
      <c r="D328" t="s">
        <v>58</v>
      </c>
      <c r="E328" t="s">
        <v>41</v>
      </c>
      <c r="F328">
        <v>3</v>
      </c>
      <c r="G328">
        <v>1</v>
      </c>
      <c r="H328" t="s">
        <v>74</v>
      </c>
      <c r="I328" t="s">
        <v>162</v>
      </c>
      <c r="J328" t="s">
        <v>208</v>
      </c>
      <c r="K328" t="b">
        <v>1</v>
      </c>
      <c r="L328">
        <v>2002</v>
      </c>
      <c r="M328">
        <v>199694463255.56699</v>
      </c>
      <c r="N328">
        <v>10929112955000</v>
      </c>
      <c r="O328">
        <v>-1</v>
      </c>
    </row>
    <row r="329" spans="1:15" x14ac:dyDescent="0.3">
      <c r="A329" s="1">
        <v>628</v>
      </c>
      <c r="B329" s="2">
        <v>37422</v>
      </c>
      <c r="C329" s="2">
        <f>_xlfn.FLOOR.MATH([1]!Table1[[#This Row],[year]],10)</f>
        <v>2000</v>
      </c>
      <c r="D329" t="s">
        <v>36</v>
      </c>
      <c r="E329" t="s">
        <v>207</v>
      </c>
      <c r="F329">
        <v>0</v>
      </c>
      <c r="G329">
        <v>3</v>
      </c>
      <c r="H329" t="s">
        <v>74</v>
      </c>
      <c r="I329" t="s">
        <v>151</v>
      </c>
      <c r="J329" t="s">
        <v>51</v>
      </c>
      <c r="K329" t="b">
        <v>1</v>
      </c>
      <c r="L329">
        <v>2002</v>
      </c>
      <c r="M329">
        <v>178788209558.311</v>
      </c>
      <c r="N329">
        <v>1790536570743.4099</v>
      </c>
      <c r="O329">
        <v>1</v>
      </c>
    </row>
    <row r="330" spans="1:15" x14ac:dyDescent="0.3">
      <c r="A330" s="1">
        <v>629</v>
      </c>
      <c r="B330" s="2">
        <v>37422</v>
      </c>
      <c r="C330" s="2">
        <f>_xlfn.FLOOR.MATH([1]!Table1[[#This Row],[year]],10)</f>
        <v>2000</v>
      </c>
      <c r="D330" t="s">
        <v>16</v>
      </c>
      <c r="E330" t="s">
        <v>35</v>
      </c>
      <c r="F330">
        <v>1</v>
      </c>
      <c r="G330">
        <v>0</v>
      </c>
      <c r="H330" t="s">
        <v>74</v>
      </c>
      <c r="I330" t="s">
        <v>161</v>
      </c>
      <c r="J330" t="s">
        <v>208</v>
      </c>
      <c r="K330" t="b">
        <v>1</v>
      </c>
      <c r="L330">
        <v>2002</v>
      </c>
      <c r="M330">
        <v>2102350798305.8899</v>
      </c>
      <c r="N330">
        <v>7196260656.8455601</v>
      </c>
      <c r="O330">
        <v>1</v>
      </c>
    </row>
    <row r="331" spans="1:15" x14ac:dyDescent="0.3">
      <c r="A331" s="1">
        <v>631</v>
      </c>
      <c r="B331" s="2">
        <v>37423</v>
      </c>
      <c r="C331" s="2">
        <f>_xlfn.FLOOR.MATH([1]!Table1[[#This Row],[year]],10)</f>
        <v>2000</v>
      </c>
      <c r="D331" t="s">
        <v>25</v>
      </c>
      <c r="E331" t="s">
        <v>54</v>
      </c>
      <c r="F331">
        <v>1</v>
      </c>
      <c r="G331">
        <v>2</v>
      </c>
      <c r="H331" t="s">
        <v>74</v>
      </c>
      <c r="I331" t="s">
        <v>158</v>
      </c>
      <c r="J331" t="s">
        <v>51</v>
      </c>
      <c r="K331" t="b">
        <v>1</v>
      </c>
      <c r="L331">
        <v>2002</v>
      </c>
      <c r="M331">
        <v>267371907446.776</v>
      </c>
      <c r="N331">
        <v>7006402319.7585602</v>
      </c>
      <c r="O331">
        <v>-1</v>
      </c>
    </row>
    <row r="332" spans="1:15" x14ac:dyDescent="0.3">
      <c r="A332" s="1">
        <v>632</v>
      </c>
      <c r="B332" s="2">
        <v>37424</v>
      </c>
      <c r="C332" s="2">
        <f>_xlfn.FLOOR.MATH([1]!Table1[[#This Row],[year]],10)</f>
        <v>2000</v>
      </c>
      <c r="D332" t="s">
        <v>13</v>
      </c>
      <c r="E332" t="s">
        <v>23</v>
      </c>
      <c r="F332">
        <v>2</v>
      </c>
      <c r="G332">
        <v>0</v>
      </c>
      <c r="H332" t="s">
        <v>74</v>
      </c>
      <c r="I332" t="s">
        <v>156</v>
      </c>
      <c r="J332" t="s">
        <v>51</v>
      </c>
      <c r="K332" t="b">
        <v>1</v>
      </c>
      <c r="L332">
        <v>2002</v>
      </c>
      <c r="M332">
        <v>509795270685.19</v>
      </c>
      <c r="N332">
        <v>258383599375.177</v>
      </c>
      <c r="O332">
        <v>1</v>
      </c>
    </row>
    <row r="333" spans="1:15" x14ac:dyDescent="0.3">
      <c r="A333" s="1">
        <v>633</v>
      </c>
      <c r="B333" s="2">
        <v>37424</v>
      </c>
      <c r="C333" s="2">
        <f>_xlfn.FLOOR.MATH([1]!Table1[[#This Row],[year]],10)</f>
        <v>2000</v>
      </c>
      <c r="D333" t="s">
        <v>17</v>
      </c>
      <c r="E333" t="s">
        <v>41</v>
      </c>
      <c r="F333">
        <v>0</v>
      </c>
      <c r="G333">
        <v>2</v>
      </c>
      <c r="H333" t="s">
        <v>74</v>
      </c>
      <c r="I333" t="s">
        <v>155</v>
      </c>
      <c r="J333" t="s">
        <v>208</v>
      </c>
      <c r="K333" t="b">
        <v>1</v>
      </c>
      <c r="L333">
        <v>2002</v>
      </c>
      <c r="M333">
        <v>810666116401.91504</v>
      </c>
      <c r="N333">
        <v>10929112955000</v>
      </c>
      <c r="O333">
        <v>1</v>
      </c>
    </row>
    <row r="334" spans="1:15" x14ac:dyDescent="0.3">
      <c r="A334" s="1">
        <v>636</v>
      </c>
      <c r="B334" s="2">
        <v>37428</v>
      </c>
      <c r="C334" s="2">
        <f>_xlfn.FLOOR.MATH([1]!Table1[[#This Row],[year]],10)</f>
        <v>2000</v>
      </c>
      <c r="D334" t="s">
        <v>207</v>
      </c>
      <c r="E334" t="s">
        <v>13</v>
      </c>
      <c r="F334">
        <v>1</v>
      </c>
      <c r="G334">
        <v>2</v>
      </c>
      <c r="H334" t="s">
        <v>74</v>
      </c>
      <c r="I334" t="s">
        <v>159</v>
      </c>
      <c r="J334" t="s">
        <v>51</v>
      </c>
      <c r="K334" t="b">
        <v>1</v>
      </c>
      <c r="L334">
        <v>2002</v>
      </c>
      <c r="M334">
        <v>1790536570743.4099</v>
      </c>
      <c r="N334">
        <v>509795270685.19</v>
      </c>
      <c r="O334">
        <v>-1</v>
      </c>
    </row>
    <row r="335" spans="1:15" x14ac:dyDescent="0.3">
      <c r="A335" s="1">
        <v>637</v>
      </c>
      <c r="B335" s="2">
        <v>37428</v>
      </c>
      <c r="C335" s="2">
        <f>_xlfn.FLOOR.MATH([1]!Table1[[#This Row],[year]],10)</f>
        <v>2000</v>
      </c>
      <c r="D335" t="s">
        <v>16</v>
      </c>
      <c r="E335" t="s">
        <v>41</v>
      </c>
      <c r="F335">
        <v>1</v>
      </c>
      <c r="G335">
        <v>0</v>
      </c>
      <c r="H335" t="s">
        <v>74</v>
      </c>
      <c r="I335" t="s">
        <v>147</v>
      </c>
      <c r="J335" t="s">
        <v>208</v>
      </c>
      <c r="K335" t="b">
        <v>1</v>
      </c>
      <c r="L335">
        <v>2002</v>
      </c>
      <c r="M335">
        <v>2102350798305.8899</v>
      </c>
      <c r="N335">
        <v>10929112955000</v>
      </c>
      <c r="O335">
        <v>-1</v>
      </c>
    </row>
    <row r="336" spans="1:15" x14ac:dyDescent="0.3">
      <c r="A336" s="1">
        <v>643</v>
      </c>
      <c r="B336" s="2">
        <v>37437</v>
      </c>
      <c r="C336" s="2">
        <f>_xlfn.FLOOR.MATH([1]!Table1[[#This Row],[year]],10)</f>
        <v>2000</v>
      </c>
      <c r="D336" t="s">
        <v>16</v>
      </c>
      <c r="E336" t="s">
        <v>13</v>
      </c>
      <c r="F336">
        <v>0</v>
      </c>
      <c r="G336">
        <v>2</v>
      </c>
      <c r="H336" t="s">
        <v>74</v>
      </c>
      <c r="I336" t="s">
        <v>163</v>
      </c>
      <c r="J336" t="s">
        <v>51</v>
      </c>
      <c r="K336" t="b">
        <v>1</v>
      </c>
      <c r="L336">
        <v>2002</v>
      </c>
      <c r="M336">
        <v>2102350798305.8899</v>
      </c>
      <c r="N336">
        <v>509795270685.19</v>
      </c>
      <c r="O336">
        <v>-1</v>
      </c>
    </row>
    <row r="337" spans="1:15" x14ac:dyDescent="0.3">
      <c r="A337" s="1">
        <v>644</v>
      </c>
      <c r="B337" s="2">
        <v>38877</v>
      </c>
      <c r="C337" s="2">
        <f>_xlfn.FLOOR.MATH([1]!Table1[[#This Row],[year]],10)</f>
        <v>2000</v>
      </c>
      <c r="D337" t="s">
        <v>16</v>
      </c>
      <c r="E337" t="s">
        <v>56</v>
      </c>
      <c r="F337">
        <v>4</v>
      </c>
      <c r="G337">
        <v>2</v>
      </c>
      <c r="H337" t="s">
        <v>74</v>
      </c>
      <c r="I337" t="s">
        <v>89</v>
      </c>
      <c r="J337" t="s">
        <v>16</v>
      </c>
      <c r="K337" t="b">
        <v>0</v>
      </c>
      <c r="L337">
        <v>2006</v>
      </c>
      <c r="M337">
        <v>3046308753670.5801</v>
      </c>
      <c r="N337">
        <v>22715540324.3032</v>
      </c>
      <c r="O337">
        <v>1</v>
      </c>
    </row>
    <row r="338" spans="1:15" x14ac:dyDescent="0.3">
      <c r="A338" s="1">
        <v>645</v>
      </c>
      <c r="B338" s="2">
        <v>38877</v>
      </c>
      <c r="C338" s="2">
        <f>_xlfn.FLOOR.MATH([1]!Table1[[#This Row],[year]],10)</f>
        <v>2000</v>
      </c>
      <c r="D338" t="s">
        <v>58</v>
      </c>
      <c r="E338" t="s">
        <v>57</v>
      </c>
      <c r="F338">
        <v>0</v>
      </c>
      <c r="G338">
        <v>2</v>
      </c>
      <c r="H338" t="s">
        <v>74</v>
      </c>
      <c r="I338" t="s">
        <v>95</v>
      </c>
      <c r="J338" t="s">
        <v>16</v>
      </c>
      <c r="K338" t="b">
        <v>1</v>
      </c>
      <c r="L338">
        <v>2006</v>
      </c>
      <c r="M338">
        <v>345897630736.17297</v>
      </c>
      <c r="N338">
        <v>45690762000</v>
      </c>
      <c r="O338">
        <v>-1</v>
      </c>
    </row>
    <row r="339" spans="1:15" x14ac:dyDescent="0.3">
      <c r="A339" s="1">
        <v>647</v>
      </c>
      <c r="B339" s="2">
        <v>38878</v>
      </c>
      <c r="C339" s="2">
        <f>_xlfn.FLOOR.MATH([1]!Table1[[#This Row],[year]],10)</f>
        <v>2000</v>
      </c>
      <c r="D339" t="s">
        <v>207</v>
      </c>
      <c r="E339" t="s">
        <v>35</v>
      </c>
      <c r="F339">
        <v>1</v>
      </c>
      <c r="G339">
        <v>0</v>
      </c>
      <c r="H339" t="s">
        <v>74</v>
      </c>
      <c r="I339" t="s">
        <v>169</v>
      </c>
      <c r="J339" t="s">
        <v>16</v>
      </c>
      <c r="K339" t="b">
        <v>1</v>
      </c>
      <c r="L339">
        <v>2006</v>
      </c>
      <c r="M339">
        <v>2719558417663.29</v>
      </c>
      <c r="N339">
        <v>13429430050.261</v>
      </c>
      <c r="O339">
        <v>1</v>
      </c>
    </row>
    <row r="340" spans="1:15" x14ac:dyDescent="0.3">
      <c r="A340" s="1">
        <v>648</v>
      </c>
      <c r="B340" s="2">
        <v>38878</v>
      </c>
      <c r="C340" s="2">
        <f>_xlfn.FLOOR.MATH([1]!Table1[[#This Row],[year]],10)</f>
        <v>2000</v>
      </c>
      <c r="D340" t="s">
        <v>59</v>
      </c>
      <c r="E340" t="s">
        <v>25</v>
      </c>
      <c r="F340">
        <v>0</v>
      </c>
      <c r="G340">
        <v>0</v>
      </c>
      <c r="H340" t="s">
        <v>74</v>
      </c>
      <c r="I340" t="s">
        <v>93</v>
      </c>
      <c r="J340" t="s">
        <v>16</v>
      </c>
      <c r="K340" t="b">
        <v>1</v>
      </c>
      <c r="L340">
        <v>2006</v>
      </c>
      <c r="M340">
        <v>18369361094.388599</v>
      </c>
      <c r="N340">
        <v>422528394459.35303</v>
      </c>
      <c r="O340">
        <v>0</v>
      </c>
    </row>
    <row r="341" spans="1:15" x14ac:dyDescent="0.3">
      <c r="A341" s="1">
        <v>649</v>
      </c>
      <c r="B341" s="2">
        <v>38879</v>
      </c>
      <c r="C341" s="2">
        <f>_xlfn.FLOOR.MATH([1]!Table1[[#This Row],[year]],10)</f>
        <v>2000</v>
      </c>
      <c r="D341" t="s">
        <v>60</v>
      </c>
      <c r="E341" t="s">
        <v>38</v>
      </c>
      <c r="F341">
        <v>0</v>
      </c>
      <c r="G341">
        <v>1</v>
      </c>
      <c r="H341" t="s">
        <v>74</v>
      </c>
      <c r="I341" t="s">
        <v>165</v>
      </c>
      <c r="J341" t="s">
        <v>16</v>
      </c>
      <c r="K341" t="b">
        <v>1</v>
      </c>
      <c r="L341">
        <v>2006</v>
      </c>
      <c r="M341">
        <v>58653659979.710999</v>
      </c>
      <c r="N341">
        <v>208756449275.84799</v>
      </c>
      <c r="O341">
        <v>1</v>
      </c>
    </row>
    <row r="342" spans="1:15" x14ac:dyDescent="0.3">
      <c r="A342" s="1">
        <v>650</v>
      </c>
      <c r="B342" s="2">
        <v>38879</v>
      </c>
      <c r="C342" s="2">
        <f>_xlfn.FLOOR.MATH([1]!Table1[[#This Row],[year]],10)</f>
        <v>2000</v>
      </c>
      <c r="D342" t="s">
        <v>17</v>
      </c>
      <c r="E342" t="s">
        <v>225</v>
      </c>
      <c r="F342">
        <v>3</v>
      </c>
      <c r="G342">
        <v>1</v>
      </c>
      <c r="H342" t="s">
        <v>74</v>
      </c>
      <c r="I342" t="s">
        <v>168</v>
      </c>
      <c r="J342" t="s">
        <v>16</v>
      </c>
      <c r="K342" t="b">
        <v>1</v>
      </c>
      <c r="L342">
        <v>2006</v>
      </c>
      <c r="M342">
        <v>1020265057882.01</v>
      </c>
      <c r="N342">
        <v>265602187403.64301</v>
      </c>
      <c r="O342">
        <v>1</v>
      </c>
    </row>
    <row r="343" spans="1:15" x14ac:dyDescent="0.3">
      <c r="A343" s="1">
        <v>651</v>
      </c>
      <c r="B343" s="2">
        <v>38879</v>
      </c>
      <c r="C343" s="2">
        <f>_xlfn.FLOOR.MATH([1]!Table1[[#This Row],[year]],10)</f>
        <v>2000</v>
      </c>
      <c r="D343" t="s">
        <v>61</v>
      </c>
      <c r="E343" t="s">
        <v>27</v>
      </c>
      <c r="F343">
        <v>0</v>
      </c>
      <c r="G343">
        <v>1</v>
      </c>
      <c r="H343" t="s">
        <v>74</v>
      </c>
      <c r="I343" t="s">
        <v>166</v>
      </c>
      <c r="J343" t="s">
        <v>16</v>
      </c>
      <c r="K343" t="b">
        <v>1</v>
      </c>
      <c r="L343">
        <v>2006</v>
      </c>
      <c r="M343">
        <v>33298057361.741199</v>
      </c>
      <c r="N343">
        <v>737593995289.41101</v>
      </c>
      <c r="O343">
        <v>1</v>
      </c>
    </row>
    <row r="344" spans="1:15" x14ac:dyDescent="0.3">
      <c r="A344" s="1">
        <v>652</v>
      </c>
      <c r="B344" s="2">
        <v>38880</v>
      </c>
      <c r="C344" s="2">
        <f>_xlfn.FLOOR.MATH([1]!Table1[[#This Row],[year]],10)</f>
        <v>2000</v>
      </c>
      <c r="D344" t="s">
        <v>28</v>
      </c>
      <c r="E344" t="s">
        <v>51</v>
      </c>
      <c r="F344">
        <v>3</v>
      </c>
      <c r="G344">
        <v>1</v>
      </c>
      <c r="H344" t="s">
        <v>74</v>
      </c>
      <c r="I344" t="s">
        <v>167</v>
      </c>
      <c r="J344" t="s">
        <v>16</v>
      </c>
      <c r="K344" t="b">
        <v>1</v>
      </c>
      <c r="L344">
        <v>2006</v>
      </c>
      <c r="M344">
        <v>749708370332.98901</v>
      </c>
      <c r="N344">
        <v>4601663122649.9199</v>
      </c>
      <c r="O344">
        <v>-1</v>
      </c>
    </row>
    <row r="345" spans="1:15" x14ac:dyDescent="0.3">
      <c r="A345" s="1">
        <v>653</v>
      </c>
      <c r="B345" s="2">
        <v>38880</v>
      </c>
      <c r="C345" s="2">
        <f>_xlfn.FLOOR.MATH([1]!Table1[[#This Row],[year]],10)</f>
        <v>2000</v>
      </c>
      <c r="D345" t="s">
        <v>18</v>
      </c>
      <c r="E345" t="s">
        <v>63</v>
      </c>
      <c r="F345">
        <v>2</v>
      </c>
      <c r="G345">
        <v>0</v>
      </c>
      <c r="H345" t="s">
        <v>74</v>
      </c>
      <c r="I345" t="s">
        <v>90</v>
      </c>
      <c r="J345" t="s">
        <v>16</v>
      </c>
      <c r="K345" t="b">
        <v>1</v>
      </c>
      <c r="L345">
        <v>2006</v>
      </c>
      <c r="M345">
        <v>1958563654385.6399</v>
      </c>
      <c r="N345">
        <v>20885037596.696301</v>
      </c>
      <c r="O345">
        <v>1</v>
      </c>
    </row>
    <row r="346" spans="1:15" x14ac:dyDescent="0.3">
      <c r="A346" s="1">
        <v>654</v>
      </c>
      <c r="B346" s="2">
        <v>38880</v>
      </c>
      <c r="C346" s="2">
        <f>_xlfn.FLOOR.MATH([1]!Table1[[#This Row],[year]],10)</f>
        <v>2000</v>
      </c>
      <c r="D346" t="s">
        <v>41</v>
      </c>
      <c r="E346" t="s">
        <v>227</v>
      </c>
      <c r="F346">
        <v>0</v>
      </c>
      <c r="G346">
        <v>3</v>
      </c>
      <c r="H346" t="s">
        <v>74</v>
      </c>
      <c r="I346" t="s">
        <v>95</v>
      </c>
      <c r="J346" t="s">
        <v>16</v>
      </c>
      <c r="K346" t="b">
        <v>1</v>
      </c>
      <c r="L346">
        <v>2006</v>
      </c>
      <c r="M346">
        <v>13815586948000</v>
      </c>
      <c r="N346">
        <v>156236258386.58899</v>
      </c>
      <c r="O346">
        <v>-1</v>
      </c>
    </row>
    <row r="347" spans="1:15" x14ac:dyDescent="0.3">
      <c r="A347" s="1">
        <v>655</v>
      </c>
      <c r="B347" s="2">
        <v>38881</v>
      </c>
      <c r="C347" s="2">
        <f>_xlfn.FLOOR.MATH([1]!Table1[[#This Row],[year]],10)</f>
        <v>2000</v>
      </c>
      <c r="D347" t="s">
        <v>13</v>
      </c>
      <c r="E347" t="s">
        <v>52</v>
      </c>
      <c r="F347">
        <v>1</v>
      </c>
      <c r="G347">
        <v>0</v>
      </c>
      <c r="H347" t="s">
        <v>74</v>
      </c>
      <c r="I347" t="s">
        <v>88</v>
      </c>
      <c r="J347" t="s">
        <v>16</v>
      </c>
      <c r="K347" t="b">
        <v>1</v>
      </c>
      <c r="L347">
        <v>2006</v>
      </c>
      <c r="M347">
        <v>1107626711163.23</v>
      </c>
      <c r="N347">
        <v>49583544860.075897</v>
      </c>
      <c r="O347">
        <v>1</v>
      </c>
    </row>
    <row r="348" spans="1:15" x14ac:dyDescent="0.3">
      <c r="A348" s="1">
        <v>656</v>
      </c>
      <c r="B348" s="2">
        <v>38881</v>
      </c>
      <c r="C348" s="2">
        <f>_xlfn.FLOOR.MATH([1]!Table1[[#This Row],[year]],10)</f>
        <v>2000</v>
      </c>
      <c r="D348" t="s">
        <v>20</v>
      </c>
      <c r="E348" t="s">
        <v>46</v>
      </c>
      <c r="F348">
        <v>0</v>
      </c>
      <c r="G348">
        <v>0</v>
      </c>
      <c r="H348" t="s">
        <v>74</v>
      </c>
      <c r="I348" t="s">
        <v>92</v>
      </c>
      <c r="J348" t="s">
        <v>16</v>
      </c>
      <c r="K348" t="b">
        <v>1</v>
      </c>
      <c r="L348">
        <v>2006</v>
      </c>
      <c r="M348">
        <v>2317861544690.8198</v>
      </c>
      <c r="N348">
        <v>441634672196.52301</v>
      </c>
      <c r="O348">
        <v>0</v>
      </c>
    </row>
    <row r="349" spans="1:15" x14ac:dyDescent="0.3">
      <c r="A349" s="1">
        <v>658</v>
      </c>
      <c r="B349" s="2">
        <v>38882</v>
      </c>
      <c r="C349" s="2">
        <f>_xlfn.FLOOR.MATH([1]!Table1[[#This Row],[year]],10)</f>
        <v>2000</v>
      </c>
      <c r="D349" t="s">
        <v>16</v>
      </c>
      <c r="E349" t="s">
        <v>58</v>
      </c>
      <c r="F349">
        <v>1</v>
      </c>
      <c r="G349">
        <v>0</v>
      </c>
      <c r="H349" t="s">
        <v>74</v>
      </c>
      <c r="I349" t="s">
        <v>93</v>
      </c>
      <c r="J349" t="s">
        <v>16</v>
      </c>
      <c r="K349" t="b">
        <v>0</v>
      </c>
      <c r="L349">
        <v>2006</v>
      </c>
      <c r="M349">
        <v>3046308753670.5801</v>
      </c>
      <c r="N349">
        <v>345897630736.17297</v>
      </c>
      <c r="O349">
        <v>1</v>
      </c>
    </row>
    <row r="350" spans="1:15" x14ac:dyDescent="0.3">
      <c r="A350" s="1">
        <v>659</v>
      </c>
      <c r="B350" s="2">
        <v>38882</v>
      </c>
      <c r="C350" s="2">
        <f>_xlfn.FLOOR.MATH([1]!Table1[[#This Row],[year]],10)</f>
        <v>2000</v>
      </c>
      <c r="D350" t="s">
        <v>21</v>
      </c>
      <c r="E350" t="s">
        <v>64</v>
      </c>
      <c r="F350">
        <v>4</v>
      </c>
      <c r="G350">
        <v>0</v>
      </c>
      <c r="H350" t="s">
        <v>74</v>
      </c>
      <c r="I350" t="s">
        <v>166</v>
      </c>
      <c r="J350" t="s">
        <v>16</v>
      </c>
      <c r="K350" t="b">
        <v>1</v>
      </c>
      <c r="L350">
        <v>2006</v>
      </c>
      <c r="M350">
        <v>1261846683275.29</v>
      </c>
      <c r="N350">
        <v>111884752475.248</v>
      </c>
      <c r="O350">
        <v>1</v>
      </c>
    </row>
    <row r="351" spans="1:15" x14ac:dyDescent="0.3">
      <c r="A351" s="1">
        <v>660</v>
      </c>
      <c r="B351" s="2">
        <v>38882</v>
      </c>
      <c r="C351" s="2">
        <f>_xlfn.FLOOR.MATH([1]!Table1[[#This Row],[year]],10)</f>
        <v>2000</v>
      </c>
      <c r="D351" t="s">
        <v>53</v>
      </c>
      <c r="E351" t="s">
        <v>45</v>
      </c>
      <c r="F351">
        <v>2</v>
      </c>
      <c r="G351">
        <v>2</v>
      </c>
      <c r="H351" t="s">
        <v>74</v>
      </c>
      <c r="I351" t="s">
        <v>89</v>
      </c>
      <c r="J351" t="s">
        <v>16</v>
      </c>
      <c r="K351" t="b">
        <v>1</v>
      </c>
      <c r="L351">
        <v>2006</v>
      </c>
      <c r="M351">
        <v>34376664600.589798</v>
      </c>
      <c r="N351">
        <v>376900133511.34802</v>
      </c>
      <c r="O351">
        <v>0</v>
      </c>
    </row>
    <row r="352" spans="1:15" x14ac:dyDescent="0.3">
      <c r="A352" s="1">
        <v>661</v>
      </c>
      <c r="B352" s="2">
        <v>38883</v>
      </c>
      <c r="C352" s="2">
        <f>_xlfn.FLOOR.MATH([1]!Table1[[#This Row],[year]],10)</f>
        <v>2000</v>
      </c>
      <c r="D352" t="s">
        <v>57</v>
      </c>
      <c r="E352" t="s">
        <v>56</v>
      </c>
      <c r="F352">
        <v>3</v>
      </c>
      <c r="G352">
        <v>0</v>
      </c>
      <c r="H352" t="s">
        <v>74</v>
      </c>
      <c r="I352" t="s">
        <v>91</v>
      </c>
      <c r="J352" t="s">
        <v>16</v>
      </c>
      <c r="K352" t="b">
        <v>1</v>
      </c>
      <c r="L352">
        <v>2006</v>
      </c>
      <c r="M352">
        <v>45690762000</v>
      </c>
      <c r="N352">
        <v>22715540324.3032</v>
      </c>
      <c r="O352">
        <v>1</v>
      </c>
    </row>
    <row r="353" spans="1:15" x14ac:dyDescent="0.3">
      <c r="A353" s="1">
        <v>662</v>
      </c>
      <c r="B353" s="2">
        <v>38883</v>
      </c>
      <c r="C353" s="2">
        <f>_xlfn.FLOOR.MATH([1]!Table1[[#This Row],[year]],10)</f>
        <v>2000</v>
      </c>
      <c r="D353" t="s">
        <v>207</v>
      </c>
      <c r="E353" t="s">
        <v>59</v>
      </c>
      <c r="F353">
        <v>2</v>
      </c>
      <c r="G353">
        <v>0</v>
      </c>
      <c r="H353" t="s">
        <v>74</v>
      </c>
      <c r="I353" t="s">
        <v>168</v>
      </c>
      <c r="J353" t="s">
        <v>16</v>
      </c>
      <c r="K353" t="b">
        <v>1</v>
      </c>
      <c r="L353">
        <v>2006</v>
      </c>
      <c r="M353">
        <v>2719558417663.29</v>
      </c>
      <c r="N353">
        <v>18369361094.388599</v>
      </c>
      <c r="O353">
        <v>1</v>
      </c>
    </row>
    <row r="354" spans="1:15" x14ac:dyDescent="0.3">
      <c r="A354" s="1">
        <v>663</v>
      </c>
      <c r="B354" s="2">
        <v>38883</v>
      </c>
      <c r="C354" s="2">
        <f>_xlfn.FLOOR.MATH([1]!Table1[[#This Row],[year]],10)</f>
        <v>2000</v>
      </c>
      <c r="D354" t="s">
        <v>25</v>
      </c>
      <c r="E354" t="s">
        <v>35</v>
      </c>
      <c r="F354">
        <v>1</v>
      </c>
      <c r="G354">
        <v>0</v>
      </c>
      <c r="H354" t="s">
        <v>74</v>
      </c>
      <c r="I354" t="s">
        <v>88</v>
      </c>
      <c r="J354" t="s">
        <v>16</v>
      </c>
      <c r="K354" t="b">
        <v>1</v>
      </c>
      <c r="L354">
        <v>2006</v>
      </c>
      <c r="M354">
        <v>422528394459.35303</v>
      </c>
      <c r="N354">
        <v>13429430050.261</v>
      </c>
      <c r="O354">
        <v>1</v>
      </c>
    </row>
    <row r="355" spans="1:15" x14ac:dyDescent="0.3">
      <c r="A355" s="1">
        <v>664</v>
      </c>
      <c r="B355" s="2">
        <v>38884</v>
      </c>
      <c r="C355" s="2">
        <f>_xlfn.FLOOR.MATH([1]!Table1[[#This Row],[year]],10)</f>
        <v>2000</v>
      </c>
      <c r="D355" t="s">
        <v>19</v>
      </c>
      <c r="E355" t="s">
        <v>61</v>
      </c>
      <c r="F355">
        <v>6</v>
      </c>
      <c r="G355">
        <v>0</v>
      </c>
      <c r="H355" t="s">
        <v>74</v>
      </c>
      <c r="I355" t="s">
        <v>95</v>
      </c>
      <c r="J355" t="s">
        <v>16</v>
      </c>
      <c r="K355" t="b">
        <v>1</v>
      </c>
      <c r="L355">
        <v>2006</v>
      </c>
      <c r="M355">
        <v>232557260817.30801</v>
      </c>
      <c r="N355">
        <v>33298057361.741199</v>
      </c>
      <c r="O355">
        <v>1</v>
      </c>
    </row>
    <row r="356" spans="1:15" x14ac:dyDescent="0.3">
      <c r="A356" s="1">
        <v>665</v>
      </c>
      <c r="B356" s="2">
        <v>38884</v>
      </c>
      <c r="C356" s="2">
        <f>_xlfn.FLOOR.MATH([1]!Table1[[#This Row],[year]],10)</f>
        <v>2000</v>
      </c>
      <c r="D356" t="s">
        <v>17</v>
      </c>
      <c r="E356" t="s">
        <v>60</v>
      </c>
      <c r="F356">
        <v>0</v>
      </c>
      <c r="G356">
        <v>0</v>
      </c>
      <c r="H356" t="s">
        <v>74</v>
      </c>
      <c r="I356" t="s">
        <v>90</v>
      </c>
      <c r="J356" t="s">
        <v>16</v>
      </c>
      <c r="K356" t="b">
        <v>1</v>
      </c>
      <c r="L356">
        <v>2006</v>
      </c>
      <c r="M356">
        <v>1020265057882.01</v>
      </c>
      <c r="N356">
        <v>58653659979.710999</v>
      </c>
      <c r="O356">
        <v>0</v>
      </c>
    </row>
    <row r="357" spans="1:15" x14ac:dyDescent="0.3">
      <c r="A357" s="1">
        <v>667</v>
      </c>
      <c r="B357" s="2">
        <v>38885</v>
      </c>
      <c r="C357" s="2">
        <f>_xlfn.FLOOR.MATH([1]!Table1[[#This Row],[year]],10)</f>
        <v>2000</v>
      </c>
      <c r="D357" t="s">
        <v>227</v>
      </c>
      <c r="E357" t="s">
        <v>63</v>
      </c>
      <c r="F357">
        <v>0</v>
      </c>
      <c r="G357">
        <v>2</v>
      </c>
      <c r="H357" t="s">
        <v>74</v>
      </c>
      <c r="I357" t="s">
        <v>165</v>
      </c>
      <c r="J357" t="s">
        <v>16</v>
      </c>
      <c r="K357" t="b">
        <v>1</v>
      </c>
      <c r="L357">
        <v>2006</v>
      </c>
      <c r="M357">
        <v>156236258386.58899</v>
      </c>
      <c r="N357">
        <v>20885037596.696301</v>
      </c>
      <c r="O357">
        <v>-1</v>
      </c>
    </row>
    <row r="358" spans="1:15" x14ac:dyDescent="0.3">
      <c r="A358" s="1">
        <v>668</v>
      </c>
      <c r="B358" s="2">
        <v>38885</v>
      </c>
      <c r="C358" s="2">
        <f>_xlfn.FLOOR.MATH([1]!Table1[[#This Row],[year]],10)</f>
        <v>2000</v>
      </c>
      <c r="D358" t="s">
        <v>18</v>
      </c>
      <c r="E358" t="s">
        <v>41</v>
      </c>
      <c r="F358">
        <v>1</v>
      </c>
      <c r="G358">
        <v>1</v>
      </c>
      <c r="H358" t="s">
        <v>74</v>
      </c>
      <c r="I358" t="s">
        <v>167</v>
      </c>
      <c r="J358" t="s">
        <v>16</v>
      </c>
      <c r="K358" t="b">
        <v>1</v>
      </c>
      <c r="L358">
        <v>2006</v>
      </c>
      <c r="M358">
        <v>1958563654385.6399</v>
      </c>
      <c r="N358">
        <v>13815586948000</v>
      </c>
      <c r="O358">
        <v>0</v>
      </c>
    </row>
    <row r="359" spans="1:15" x14ac:dyDescent="0.3">
      <c r="A359" s="1">
        <v>669</v>
      </c>
      <c r="B359" s="2">
        <v>38885</v>
      </c>
      <c r="C359" s="2">
        <f>_xlfn.FLOOR.MATH([1]!Table1[[#This Row],[year]],10)</f>
        <v>2000</v>
      </c>
      <c r="D359" t="s">
        <v>38</v>
      </c>
      <c r="E359" t="s">
        <v>225</v>
      </c>
      <c r="F359">
        <v>2</v>
      </c>
      <c r="G359">
        <v>0</v>
      </c>
      <c r="H359" t="s">
        <v>74</v>
      </c>
      <c r="I359" t="s">
        <v>169</v>
      </c>
      <c r="J359" t="s">
        <v>16</v>
      </c>
      <c r="K359" t="b">
        <v>1</v>
      </c>
      <c r="L359">
        <v>2006</v>
      </c>
      <c r="M359">
        <v>208756449275.84799</v>
      </c>
      <c r="N359">
        <v>265602187403.64301</v>
      </c>
      <c r="O359">
        <v>-1</v>
      </c>
    </row>
    <row r="360" spans="1:15" x14ac:dyDescent="0.3">
      <c r="A360" s="1">
        <v>670</v>
      </c>
      <c r="B360" s="2">
        <v>38886</v>
      </c>
      <c r="C360" s="2">
        <f>_xlfn.FLOOR.MATH([1]!Table1[[#This Row],[year]],10)</f>
        <v>2000</v>
      </c>
      <c r="D360" t="s">
        <v>13</v>
      </c>
      <c r="E360" t="s">
        <v>28</v>
      </c>
      <c r="F360">
        <v>2</v>
      </c>
      <c r="G360">
        <v>0</v>
      </c>
      <c r="H360" t="s">
        <v>74</v>
      </c>
      <c r="I360" t="s">
        <v>89</v>
      </c>
      <c r="J360" t="s">
        <v>16</v>
      </c>
      <c r="K360" t="b">
        <v>1</v>
      </c>
      <c r="L360">
        <v>2006</v>
      </c>
      <c r="M360">
        <v>1107626711163.23</v>
      </c>
      <c r="N360">
        <v>749708370332.98901</v>
      </c>
      <c r="O360">
        <v>1</v>
      </c>
    </row>
    <row r="361" spans="1:15" x14ac:dyDescent="0.3">
      <c r="A361" s="1">
        <v>672</v>
      </c>
      <c r="B361" s="2">
        <v>38886</v>
      </c>
      <c r="C361" s="2">
        <f>_xlfn.FLOOR.MATH([1]!Table1[[#This Row],[year]],10)</f>
        <v>2000</v>
      </c>
      <c r="D361" t="s">
        <v>51</v>
      </c>
      <c r="E361" t="s">
        <v>52</v>
      </c>
      <c r="F361">
        <v>0</v>
      </c>
      <c r="G361">
        <v>0</v>
      </c>
      <c r="H361" t="s">
        <v>74</v>
      </c>
      <c r="I361" t="s">
        <v>168</v>
      </c>
      <c r="J361" t="s">
        <v>16</v>
      </c>
      <c r="K361" t="b">
        <v>1</v>
      </c>
      <c r="L361">
        <v>2006</v>
      </c>
      <c r="M361">
        <v>4601663122649.9199</v>
      </c>
      <c r="N361">
        <v>49583544860.075897</v>
      </c>
      <c r="O361">
        <v>0</v>
      </c>
    </row>
    <row r="362" spans="1:15" x14ac:dyDescent="0.3">
      <c r="A362" s="1">
        <v>673</v>
      </c>
      <c r="B362" s="2">
        <v>38887</v>
      </c>
      <c r="C362" s="2">
        <f>_xlfn.FLOOR.MATH([1]!Table1[[#This Row],[year]],10)</f>
        <v>2000</v>
      </c>
      <c r="D362" t="s">
        <v>45</v>
      </c>
      <c r="E362" t="s">
        <v>64</v>
      </c>
      <c r="F362">
        <v>0</v>
      </c>
      <c r="G362">
        <v>4</v>
      </c>
      <c r="H362" t="s">
        <v>74</v>
      </c>
      <c r="I362" t="s">
        <v>91</v>
      </c>
      <c r="J362" t="s">
        <v>16</v>
      </c>
      <c r="K362" t="b">
        <v>1</v>
      </c>
      <c r="L362">
        <v>2006</v>
      </c>
      <c r="M362">
        <v>376900133511.34802</v>
      </c>
      <c r="N362">
        <v>111884752475.248</v>
      </c>
      <c r="O362">
        <v>-1</v>
      </c>
    </row>
    <row r="363" spans="1:15" x14ac:dyDescent="0.3">
      <c r="A363" s="1">
        <v>674</v>
      </c>
      <c r="B363" s="2">
        <v>38887</v>
      </c>
      <c r="C363" s="2">
        <f>_xlfn.FLOOR.MATH([1]!Table1[[#This Row],[year]],10)</f>
        <v>2000</v>
      </c>
      <c r="D363" t="s">
        <v>21</v>
      </c>
      <c r="E363" t="s">
        <v>53</v>
      </c>
      <c r="F363">
        <v>3</v>
      </c>
      <c r="G363">
        <v>1</v>
      </c>
      <c r="H363" t="s">
        <v>74</v>
      </c>
      <c r="I363" t="s">
        <v>92</v>
      </c>
      <c r="J363" t="s">
        <v>16</v>
      </c>
      <c r="K363" t="b">
        <v>1</v>
      </c>
      <c r="L363">
        <v>2006</v>
      </c>
      <c r="M363">
        <v>1261846683275.29</v>
      </c>
      <c r="N363">
        <v>34376664600.589798</v>
      </c>
      <c r="O363">
        <v>1</v>
      </c>
    </row>
    <row r="364" spans="1:15" x14ac:dyDescent="0.3">
      <c r="A364" s="1">
        <v>675</v>
      </c>
      <c r="B364" s="2">
        <v>38887</v>
      </c>
      <c r="C364" s="2">
        <f>_xlfn.FLOOR.MATH([1]!Table1[[#This Row],[year]],10)</f>
        <v>2000</v>
      </c>
      <c r="D364" t="s">
        <v>62</v>
      </c>
      <c r="E364" t="s">
        <v>46</v>
      </c>
      <c r="F364">
        <v>0</v>
      </c>
      <c r="G364">
        <v>2</v>
      </c>
      <c r="H364" t="s">
        <v>74</v>
      </c>
      <c r="I364" t="s">
        <v>93</v>
      </c>
      <c r="J364" t="s">
        <v>16</v>
      </c>
      <c r="K364" t="b">
        <v>1</v>
      </c>
      <c r="L364">
        <v>2006</v>
      </c>
      <c r="M364">
        <v>3320907721.74508</v>
      </c>
      <c r="N364">
        <v>441634672196.52301</v>
      </c>
      <c r="O364">
        <v>1</v>
      </c>
    </row>
    <row r="365" spans="1:15" x14ac:dyDescent="0.3">
      <c r="A365" s="1">
        <v>676</v>
      </c>
      <c r="B365" s="2">
        <v>38888</v>
      </c>
      <c r="C365" s="2">
        <f>_xlfn.FLOOR.MATH([1]!Table1[[#This Row],[year]],10)</f>
        <v>2000</v>
      </c>
      <c r="D365" t="s">
        <v>56</v>
      </c>
      <c r="E365" t="s">
        <v>58</v>
      </c>
      <c r="F365">
        <v>1</v>
      </c>
      <c r="G365">
        <v>2</v>
      </c>
      <c r="H365" t="s">
        <v>74</v>
      </c>
      <c r="I365" t="s">
        <v>90</v>
      </c>
      <c r="J365" t="s">
        <v>16</v>
      </c>
      <c r="K365" t="b">
        <v>1</v>
      </c>
      <c r="L365">
        <v>2006</v>
      </c>
      <c r="M365">
        <v>22715540324.3032</v>
      </c>
      <c r="N365">
        <v>345897630736.17297</v>
      </c>
      <c r="O365">
        <v>1</v>
      </c>
    </row>
    <row r="366" spans="1:15" x14ac:dyDescent="0.3">
      <c r="A366" s="1">
        <v>677</v>
      </c>
      <c r="B366" s="2">
        <v>38888</v>
      </c>
      <c r="C366" s="2">
        <f>_xlfn.FLOOR.MATH([1]!Table1[[#This Row],[year]],10)</f>
        <v>2000</v>
      </c>
      <c r="D366" t="s">
        <v>16</v>
      </c>
      <c r="E366" t="s">
        <v>57</v>
      </c>
      <c r="F366">
        <v>3</v>
      </c>
      <c r="G366">
        <v>0</v>
      </c>
      <c r="H366" t="s">
        <v>74</v>
      </c>
      <c r="I366" t="s">
        <v>88</v>
      </c>
      <c r="J366" t="s">
        <v>16</v>
      </c>
      <c r="K366" t="b">
        <v>0</v>
      </c>
      <c r="L366">
        <v>2006</v>
      </c>
      <c r="M366">
        <v>3046308753670.5801</v>
      </c>
      <c r="N366">
        <v>45690762000</v>
      </c>
      <c r="O366">
        <v>1</v>
      </c>
    </row>
    <row r="367" spans="1:15" x14ac:dyDescent="0.3">
      <c r="A367" s="1">
        <v>678</v>
      </c>
      <c r="B367" s="2">
        <v>38888</v>
      </c>
      <c r="C367" s="2">
        <f>_xlfn.FLOOR.MATH([1]!Table1[[#This Row],[year]],10)</f>
        <v>2000</v>
      </c>
      <c r="D367" t="s">
        <v>35</v>
      </c>
      <c r="E367" t="s">
        <v>59</v>
      </c>
      <c r="F367">
        <v>2</v>
      </c>
      <c r="G367">
        <v>0</v>
      </c>
      <c r="H367" t="s">
        <v>74</v>
      </c>
      <c r="I367" t="s">
        <v>167</v>
      </c>
      <c r="J367" t="s">
        <v>16</v>
      </c>
      <c r="K367" t="b">
        <v>1</v>
      </c>
      <c r="L367">
        <v>2006</v>
      </c>
      <c r="M367">
        <v>13429430050.261</v>
      </c>
      <c r="N367">
        <v>18369361094.388599</v>
      </c>
      <c r="O367">
        <v>-1</v>
      </c>
    </row>
    <row r="368" spans="1:15" x14ac:dyDescent="0.3">
      <c r="A368" s="1">
        <v>679</v>
      </c>
      <c r="B368" s="2">
        <v>38888</v>
      </c>
      <c r="C368" s="2">
        <f>_xlfn.FLOOR.MATH([1]!Table1[[#This Row],[year]],10)</f>
        <v>2000</v>
      </c>
      <c r="D368" t="s">
        <v>25</v>
      </c>
      <c r="E368" t="s">
        <v>207</v>
      </c>
      <c r="F368">
        <v>2</v>
      </c>
      <c r="G368">
        <v>2</v>
      </c>
      <c r="H368" t="s">
        <v>74</v>
      </c>
      <c r="I368" t="s">
        <v>165</v>
      </c>
      <c r="J368" t="s">
        <v>16</v>
      </c>
      <c r="K368" t="b">
        <v>1</v>
      </c>
      <c r="L368">
        <v>2006</v>
      </c>
      <c r="M368">
        <v>422528394459.35303</v>
      </c>
      <c r="N368">
        <v>2719558417663.29</v>
      </c>
      <c r="O368">
        <v>0</v>
      </c>
    </row>
    <row r="369" spans="1:15" x14ac:dyDescent="0.3">
      <c r="A369" s="1">
        <v>680</v>
      </c>
      <c r="B369" s="2">
        <v>38889</v>
      </c>
      <c r="C369" s="2">
        <f>_xlfn.FLOOR.MATH([1]!Table1[[#This Row],[year]],10)</f>
        <v>2000</v>
      </c>
      <c r="D369" t="s">
        <v>225</v>
      </c>
      <c r="E369" t="s">
        <v>60</v>
      </c>
      <c r="F369">
        <v>1</v>
      </c>
      <c r="G369">
        <v>1</v>
      </c>
      <c r="H369" t="s">
        <v>74</v>
      </c>
      <c r="I369" t="s">
        <v>166</v>
      </c>
      <c r="J369" t="s">
        <v>16</v>
      </c>
      <c r="K369" t="b">
        <v>1</v>
      </c>
      <c r="L369">
        <v>2006</v>
      </c>
      <c r="M369">
        <v>265602187403.64301</v>
      </c>
      <c r="N369">
        <v>58653659979.710999</v>
      </c>
      <c r="O369">
        <v>0</v>
      </c>
    </row>
    <row r="370" spans="1:15" x14ac:dyDescent="0.3">
      <c r="A370" s="1">
        <v>682</v>
      </c>
      <c r="B370" s="2">
        <v>38889</v>
      </c>
      <c r="C370" s="2">
        <f>_xlfn.FLOOR.MATH([1]!Table1[[#This Row],[year]],10)</f>
        <v>2000</v>
      </c>
      <c r="D370" t="s">
        <v>27</v>
      </c>
      <c r="E370" t="s">
        <v>19</v>
      </c>
      <c r="F370">
        <v>0</v>
      </c>
      <c r="G370">
        <v>0</v>
      </c>
      <c r="H370" t="s">
        <v>74</v>
      </c>
      <c r="I370" t="s">
        <v>169</v>
      </c>
      <c r="J370" t="s">
        <v>16</v>
      </c>
      <c r="K370" t="b">
        <v>1</v>
      </c>
      <c r="L370">
        <v>2006</v>
      </c>
      <c r="M370">
        <v>737593995289.41101</v>
      </c>
      <c r="N370">
        <v>232557260817.30801</v>
      </c>
      <c r="O370">
        <v>0</v>
      </c>
    </row>
    <row r="371" spans="1:15" x14ac:dyDescent="0.3">
      <c r="A371" s="1">
        <v>683</v>
      </c>
      <c r="B371" s="2">
        <v>38889</v>
      </c>
      <c r="C371" s="2">
        <f>_xlfn.FLOOR.MATH([1]!Table1[[#This Row],[year]],10)</f>
        <v>2000</v>
      </c>
      <c r="D371" t="s">
        <v>38</v>
      </c>
      <c r="E371" t="s">
        <v>17</v>
      </c>
      <c r="F371">
        <v>2</v>
      </c>
      <c r="G371">
        <v>1</v>
      </c>
      <c r="H371" t="s">
        <v>74</v>
      </c>
      <c r="I371" t="s">
        <v>95</v>
      </c>
      <c r="J371" t="s">
        <v>16</v>
      </c>
      <c r="K371" t="b">
        <v>1</v>
      </c>
      <c r="L371">
        <v>2006</v>
      </c>
      <c r="M371">
        <v>208756449275.84799</v>
      </c>
      <c r="N371">
        <v>1020265057882.01</v>
      </c>
      <c r="O371">
        <v>-1</v>
      </c>
    </row>
    <row r="372" spans="1:15" x14ac:dyDescent="0.3">
      <c r="A372" s="1">
        <v>684</v>
      </c>
      <c r="B372" s="2">
        <v>38890</v>
      </c>
      <c r="C372" s="2">
        <f>_xlfn.FLOOR.MATH([1]!Table1[[#This Row],[year]],10)</f>
        <v>2000</v>
      </c>
      <c r="D372" t="s">
        <v>52</v>
      </c>
      <c r="E372" t="s">
        <v>28</v>
      </c>
      <c r="F372">
        <v>2</v>
      </c>
      <c r="G372">
        <v>2</v>
      </c>
      <c r="H372" t="s">
        <v>74</v>
      </c>
      <c r="I372" t="s">
        <v>92</v>
      </c>
      <c r="J372" t="s">
        <v>16</v>
      </c>
      <c r="K372" t="b">
        <v>1</v>
      </c>
      <c r="L372">
        <v>2006</v>
      </c>
      <c r="M372">
        <v>49583544860.075897</v>
      </c>
      <c r="N372">
        <v>749708370332.98901</v>
      </c>
      <c r="O372">
        <v>0</v>
      </c>
    </row>
    <row r="373" spans="1:15" x14ac:dyDescent="0.3">
      <c r="A373" s="1">
        <v>685</v>
      </c>
      <c r="B373" s="2">
        <v>38890</v>
      </c>
      <c r="C373" s="2">
        <f>_xlfn.FLOOR.MATH([1]!Table1[[#This Row],[year]],10)</f>
        <v>2000</v>
      </c>
      <c r="D373" t="s">
        <v>227</v>
      </c>
      <c r="E373" t="s">
        <v>18</v>
      </c>
      <c r="F373">
        <v>0</v>
      </c>
      <c r="G373">
        <v>2</v>
      </c>
      <c r="H373" t="s">
        <v>74</v>
      </c>
      <c r="I373" t="s">
        <v>91</v>
      </c>
      <c r="J373" t="s">
        <v>16</v>
      </c>
      <c r="K373" t="b">
        <v>1</v>
      </c>
      <c r="L373">
        <v>2006</v>
      </c>
      <c r="M373">
        <v>156236258386.58899</v>
      </c>
      <c r="N373">
        <v>1958563654385.6399</v>
      </c>
      <c r="O373">
        <v>1</v>
      </c>
    </row>
    <row r="374" spans="1:15" x14ac:dyDescent="0.3">
      <c r="A374" s="1">
        <v>686</v>
      </c>
      <c r="B374" s="2">
        <v>38890</v>
      </c>
      <c r="C374" s="2">
        <f>_xlfn.FLOOR.MATH([1]!Table1[[#This Row],[year]],10)</f>
        <v>2000</v>
      </c>
      <c r="D374" t="s">
        <v>63</v>
      </c>
      <c r="E374" t="s">
        <v>41</v>
      </c>
      <c r="F374">
        <v>2</v>
      </c>
      <c r="G374">
        <v>1</v>
      </c>
      <c r="H374" t="s">
        <v>74</v>
      </c>
      <c r="I374" t="s">
        <v>168</v>
      </c>
      <c r="J374" t="s">
        <v>16</v>
      </c>
      <c r="K374" t="b">
        <v>1</v>
      </c>
      <c r="L374">
        <v>2006</v>
      </c>
      <c r="M374">
        <v>20885037596.696301</v>
      </c>
      <c r="N374">
        <v>13815586948000</v>
      </c>
      <c r="O374">
        <v>-1</v>
      </c>
    </row>
    <row r="375" spans="1:15" x14ac:dyDescent="0.3">
      <c r="A375" s="1">
        <v>687</v>
      </c>
      <c r="B375" s="2">
        <v>38890</v>
      </c>
      <c r="C375" s="2">
        <f>_xlfn.FLOOR.MATH([1]!Table1[[#This Row],[year]],10)</f>
        <v>2000</v>
      </c>
      <c r="D375" t="s">
        <v>51</v>
      </c>
      <c r="E375" t="s">
        <v>13</v>
      </c>
      <c r="F375">
        <v>1</v>
      </c>
      <c r="G375">
        <v>4</v>
      </c>
      <c r="H375" t="s">
        <v>74</v>
      </c>
      <c r="I375" t="s">
        <v>93</v>
      </c>
      <c r="J375" t="s">
        <v>16</v>
      </c>
      <c r="K375" t="b">
        <v>1</v>
      </c>
      <c r="L375">
        <v>2006</v>
      </c>
      <c r="M375">
        <v>4601663122649.9199</v>
      </c>
      <c r="N375">
        <v>1107626711163.23</v>
      </c>
      <c r="O375">
        <v>-1</v>
      </c>
    </row>
    <row r="376" spans="1:15" x14ac:dyDescent="0.3">
      <c r="A376" s="1">
        <v>688</v>
      </c>
      <c r="B376" s="2">
        <v>38891</v>
      </c>
      <c r="C376" s="2">
        <f>_xlfn.FLOOR.MATH([1]!Table1[[#This Row],[year]],10)</f>
        <v>2000</v>
      </c>
      <c r="D376" t="s">
        <v>45</v>
      </c>
      <c r="E376" t="s">
        <v>21</v>
      </c>
      <c r="F376">
        <v>0</v>
      </c>
      <c r="G376">
        <v>1</v>
      </c>
      <c r="H376" t="s">
        <v>74</v>
      </c>
      <c r="I376" t="s">
        <v>167</v>
      </c>
      <c r="J376" t="s">
        <v>16</v>
      </c>
      <c r="K376" t="b">
        <v>1</v>
      </c>
      <c r="L376">
        <v>2006</v>
      </c>
      <c r="M376">
        <v>376900133511.34802</v>
      </c>
      <c r="N376">
        <v>1261846683275.29</v>
      </c>
      <c r="O376">
        <v>1</v>
      </c>
    </row>
    <row r="377" spans="1:15" x14ac:dyDescent="0.3">
      <c r="A377" s="1">
        <v>690</v>
      </c>
      <c r="B377" s="2">
        <v>38891</v>
      </c>
      <c r="C377" s="2">
        <f>_xlfn.FLOOR.MATH([1]!Table1[[#This Row],[year]],10)</f>
        <v>2000</v>
      </c>
      <c r="D377" t="s">
        <v>62</v>
      </c>
      <c r="E377" t="s">
        <v>20</v>
      </c>
      <c r="F377">
        <v>0</v>
      </c>
      <c r="G377">
        <v>2</v>
      </c>
      <c r="H377" t="s">
        <v>74</v>
      </c>
      <c r="I377" t="s">
        <v>165</v>
      </c>
      <c r="J377" t="s">
        <v>16</v>
      </c>
      <c r="K377" t="b">
        <v>1</v>
      </c>
      <c r="L377">
        <v>2006</v>
      </c>
      <c r="M377">
        <v>3320907721.74508</v>
      </c>
      <c r="N377">
        <v>2317861544690.8198</v>
      </c>
      <c r="O377">
        <v>1</v>
      </c>
    </row>
    <row r="378" spans="1:15" x14ac:dyDescent="0.3">
      <c r="A378" s="1">
        <v>691</v>
      </c>
      <c r="B378" s="2">
        <v>38891</v>
      </c>
      <c r="C378" s="2">
        <f>_xlfn.FLOOR.MATH([1]!Table1[[#This Row],[year]],10)</f>
        <v>2000</v>
      </c>
      <c r="D378" t="s">
        <v>64</v>
      </c>
      <c r="E378" t="s">
        <v>53</v>
      </c>
      <c r="F378">
        <v>1</v>
      </c>
      <c r="G378">
        <v>0</v>
      </c>
      <c r="H378" t="s">
        <v>74</v>
      </c>
      <c r="I378" t="s">
        <v>88</v>
      </c>
      <c r="J378" t="s">
        <v>16</v>
      </c>
      <c r="K378" t="b">
        <v>1</v>
      </c>
      <c r="L378">
        <v>2006</v>
      </c>
      <c r="M378">
        <v>111884752475.248</v>
      </c>
      <c r="N378">
        <v>34376664600.589798</v>
      </c>
      <c r="O378">
        <v>1</v>
      </c>
    </row>
    <row r="379" spans="1:15" x14ac:dyDescent="0.3">
      <c r="A379" s="1">
        <v>692</v>
      </c>
      <c r="B379" s="2">
        <v>38892</v>
      </c>
      <c r="C379" s="2">
        <f>_xlfn.FLOOR.MATH([1]!Table1[[#This Row],[year]],10)</f>
        <v>2000</v>
      </c>
      <c r="D379" t="s">
        <v>19</v>
      </c>
      <c r="E379" t="s">
        <v>17</v>
      </c>
      <c r="F379">
        <v>2</v>
      </c>
      <c r="G379">
        <v>1</v>
      </c>
      <c r="H379" t="s">
        <v>74</v>
      </c>
      <c r="I379" t="s">
        <v>166</v>
      </c>
      <c r="J379" t="s">
        <v>16</v>
      </c>
      <c r="K379" t="b">
        <v>1</v>
      </c>
      <c r="L379">
        <v>2006</v>
      </c>
      <c r="M379">
        <v>232557260817.30801</v>
      </c>
      <c r="N379">
        <v>1020265057882.01</v>
      </c>
      <c r="O379">
        <v>-1</v>
      </c>
    </row>
    <row r="380" spans="1:15" x14ac:dyDescent="0.3">
      <c r="A380" s="1">
        <v>693</v>
      </c>
      <c r="B380" s="2">
        <v>38892</v>
      </c>
      <c r="C380" s="2">
        <f>_xlfn.FLOOR.MATH([1]!Table1[[#This Row],[year]],10)</f>
        <v>2000</v>
      </c>
      <c r="D380" t="s">
        <v>16</v>
      </c>
      <c r="E380" t="s">
        <v>25</v>
      </c>
      <c r="F380">
        <v>2</v>
      </c>
      <c r="G380">
        <v>0</v>
      </c>
      <c r="H380" t="s">
        <v>74</v>
      </c>
      <c r="I380" t="s">
        <v>89</v>
      </c>
      <c r="J380" t="s">
        <v>16</v>
      </c>
      <c r="K380" t="b">
        <v>0</v>
      </c>
      <c r="L380">
        <v>2006</v>
      </c>
      <c r="M380">
        <v>3046308753670.5801</v>
      </c>
      <c r="N380">
        <v>422528394459.35303</v>
      </c>
      <c r="O380">
        <v>1</v>
      </c>
    </row>
    <row r="381" spans="1:15" x14ac:dyDescent="0.3">
      <c r="A381" s="1">
        <v>694</v>
      </c>
      <c r="B381" s="2">
        <v>38893</v>
      </c>
      <c r="C381" s="2">
        <f>_xlfn.FLOOR.MATH([1]!Table1[[#This Row],[year]],10)</f>
        <v>2000</v>
      </c>
      <c r="D381" t="s">
        <v>207</v>
      </c>
      <c r="E381" t="s">
        <v>57</v>
      </c>
      <c r="F381">
        <v>1</v>
      </c>
      <c r="G381">
        <v>0</v>
      </c>
      <c r="H381" t="s">
        <v>74</v>
      </c>
      <c r="I381" t="s">
        <v>92</v>
      </c>
      <c r="J381" t="s">
        <v>16</v>
      </c>
      <c r="K381" t="b">
        <v>1</v>
      </c>
      <c r="L381">
        <v>2006</v>
      </c>
      <c r="M381">
        <v>2719558417663.29</v>
      </c>
      <c r="N381">
        <v>45690762000</v>
      </c>
      <c r="O381">
        <v>1</v>
      </c>
    </row>
    <row r="382" spans="1:15" x14ac:dyDescent="0.3">
      <c r="A382" s="1">
        <v>695</v>
      </c>
      <c r="B382" s="2">
        <v>38893</v>
      </c>
      <c r="C382" s="2">
        <f>_xlfn.FLOOR.MATH([1]!Table1[[#This Row],[year]],10)</f>
        <v>2000</v>
      </c>
      <c r="D382" t="s">
        <v>38</v>
      </c>
      <c r="E382" t="s">
        <v>27</v>
      </c>
      <c r="F382">
        <v>1</v>
      </c>
      <c r="G382">
        <v>0</v>
      </c>
      <c r="H382" t="s">
        <v>74</v>
      </c>
      <c r="I382" t="s">
        <v>168</v>
      </c>
      <c r="J382" t="s">
        <v>16</v>
      </c>
      <c r="K382" t="b">
        <v>1</v>
      </c>
      <c r="L382">
        <v>2006</v>
      </c>
      <c r="M382">
        <v>208756449275.84799</v>
      </c>
      <c r="N382">
        <v>737593995289.41101</v>
      </c>
      <c r="O382">
        <v>-1</v>
      </c>
    </row>
    <row r="383" spans="1:15" x14ac:dyDescent="0.3">
      <c r="A383" s="1">
        <v>696</v>
      </c>
      <c r="B383" s="2">
        <v>38894</v>
      </c>
      <c r="C383" s="2">
        <f>_xlfn.FLOOR.MATH([1]!Table1[[#This Row],[year]],10)</f>
        <v>2000</v>
      </c>
      <c r="D383" t="s">
        <v>18</v>
      </c>
      <c r="E383" t="s">
        <v>28</v>
      </c>
      <c r="F383">
        <v>1</v>
      </c>
      <c r="G383">
        <v>0</v>
      </c>
      <c r="H383" t="s">
        <v>74</v>
      </c>
      <c r="I383" t="s">
        <v>167</v>
      </c>
      <c r="J383" t="s">
        <v>16</v>
      </c>
      <c r="K383" t="b">
        <v>1</v>
      </c>
      <c r="L383">
        <v>2006</v>
      </c>
      <c r="M383">
        <v>1958563654385.6399</v>
      </c>
      <c r="N383">
        <v>749708370332.98901</v>
      </c>
      <c r="O383">
        <v>1</v>
      </c>
    </row>
    <row r="384" spans="1:15" x14ac:dyDescent="0.3">
      <c r="A384" s="1">
        <v>697</v>
      </c>
      <c r="B384" s="2">
        <v>38894</v>
      </c>
      <c r="C384" s="2">
        <f>_xlfn.FLOOR.MATH([1]!Table1[[#This Row],[year]],10)</f>
        <v>2000</v>
      </c>
      <c r="D384" t="s">
        <v>46</v>
      </c>
      <c r="E384" t="s">
        <v>64</v>
      </c>
      <c r="F384">
        <v>0</v>
      </c>
      <c r="G384">
        <v>0</v>
      </c>
      <c r="H384" t="s">
        <v>74</v>
      </c>
      <c r="I384" t="s">
        <v>165</v>
      </c>
      <c r="J384" t="s">
        <v>16</v>
      </c>
      <c r="K384" t="b">
        <v>1</v>
      </c>
      <c r="L384">
        <v>2006</v>
      </c>
      <c r="M384">
        <v>441634672196.52301</v>
      </c>
      <c r="N384">
        <v>111884752475.248</v>
      </c>
      <c r="O384">
        <v>0</v>
      </c>
    </row>
    <row r="385" spans="1:15" x14ac:dyDescent="0.3">
      <c r="A385" s="1">
        <v>698</v>
      </c>
      <c r="B385" s="2">
        <v>38895</v>
      </c>
      <c r="C385" s="2">
        <f>_xlfn.FLOOR.MATH([1]!Table1[[#This Row],[year]],10)</f>
        <v>2000</v>
      </c>
      <c r="D385" t="s">
        <v>13</v>
      </c>
      <c r="E385" t="s">
        <v>63</v>
      </c>
      <c r="F385">
        <v>3</v>
      </c>
      <c r="G385">
        <v>0</v>
      </c>
      <c r="H385" t="s">
        <v>74</v>
      </c>
      <c r="I385" t="s">
        <v>93</v>
      </c>
      <c r="J385" t="s">
        <v>16</v>
      </c>
      <c r="K385" t="b">
        <v>1</v>
      </c>
      <c r="L385">
        <v>2006</v>
      </c>
      <c r="M385">
        <v>1107626711163.23</v>
      </c>
      <c r="N385">
        <v>20885037596.696301</v>
      </c>
      <c r="O385">
        <v>1</v>
      </c>
    </row>
    <row r="386" spans="1:15" x14ac:dyDescent="0.3">
      <c r="A386" s="1">
        <v>699</v>
      </c>
      <c r="B386" s="2">
        <v>38895</v>
      </c>
      <c r="C386" s="2">
        <f>_xlfn.FLOOR.MATH([1]!Table1[[#This Row],[year]],10)</f>
        <v>2000</v>
      </c>
      <c r="D386" t="s">
        <v>21</v>
      </c>
      <c r="E386" t="s">
        <v>20</v>
      </c>
      <c r="F386">
        <v>1</v>
      </c>
      <c r="G386">
        <v>3</v>
      </c>
      <c r="H386" t="s">
        <v>74</v>
      </c>
      <c r="I386" t="s">
        <v>90</v>
      </c>
      <c r="J386" t="s">
        <v>16</v>
      </c>
      <c r="K386" t="b">
        <v>1</v>
      </c>
      <c r="L386">
        <v>2006</v>
      </c>
      <c r="M386">
        <v>1261846683275.29</v>
      </c>
      <c r="N386">
        <v>2317861544690.8198</v>
      </c>
      <c r="O386">
        <v>1</v>
      </c>
    </row>
    <row r="387" spans="1:15" x14ac:dyDescent="0.3">
      <c r="A387" s="1">
        <v>700</v>
      </c>
      <c r="B387" s="2">
        <v>38898</v>
      </c>
      <c r="C387" s="2">
        <f>_xlfn.FLOOR.MATH([1]!Table1[[#This Row],[year]],10)</f>
        <v>2000</v>
      </c>
      <c r="D387" t="s">
        <v>16</v>
      </c>
      <c r="E387" t="s">
        <v>19</v>
      </c>
      <c r="F387">
        <v>1</v>
      </c>
      <c r="G387">
        <v>1</v>
      </c>
      <c r="H387" t="s">
        <v>74</v>
      </c>
      <c r="I387" t="s">
        <v>88</v>
      </c>
      <c r="J387" t="s">
        <v>16</v>
      </c>
      <c r="K387" t="b">
        <v>0</v>
      </c>
      <c r="L387">
        <v>2006</v>
      </c>
      <c r="M387">
        <v>3046308753670.5801</v>
      </c>
      <c r="N387">
        <v>232557260817.30801</v>
      </c>
      <c r="O387">
        <v>0</v>
      </c>
    </row>
    <row r="388" spans="1:15" x14ac:dyDescent="0.3">
      <c r="A388" s="1">
        <v>701</v>
      </c>
      <c r="B388" s="2">
        <v>38898</v>
      </c>
      <c r="C388" s="2">
        <f>_xlfn.FLOOR.MATH([1]!Table1[[#This Row],[year]],10)</f>
        <v>2000</v>
      </c>
      <c r="D388" t="s">
        <v>18</v>
      </c>
      <c r="E388" t="s">
        <v>64</v>
      </c>
      <c r="F388">
        <v>3</v>
      </c>
      <c r="G388">
        <v>0</v>
      </c>
      <c r="H388" t="s">
        <v>74</v>
      </c>
      <c r="I388" t="s">
        <v>91</v>
      </c>
      <c r="J388" t="s">
        <v>16</v>
      </c>
      <c r="K388" t="b">
        <v>1</v>
      </c>
      <c r="L388">
        <v>2006</v>
      </c>
      <c r="M388">
        <v>1958563654385.6399</v>
      </c>
      <c r="N388">
        <v>111884752475.248</v>
      </c>
      <c r="O388">
        <v>1</v>
      </c>
    </row>
    <row r="389" spans="1:15" x14ac:dyDescent="0.3">
      <c r="A389" s="1">
        <v>702</v>
      </c>
      <c r="B389" s="2">
        <v>38899</v>
      </c>
      <c r="C389" s="2">
        <f>_xlfn.FLOOR.MATH([1]!Table1[[#This Row],[year]],10)</f>
        <v>2000</v>
      </c>
      <c r="D389" t="s">
        <v>13</v>
      </c>
      <c r="E389" t="s">
        <v>20</v>
      </c>
      <c r="F389">
        <v>0</v>
      </c>
      <c r="G389">
        <v>1</v>
      </c>
      <c r="H389" t="s">
        <v>74</v>
      </c>
      <c r="I389" t="s">
        <v>169</v>
      </c>
      <c r="J389" t="s">
        <v>16</v>
      </c>
      <c r="K389" t="b">
        <v>1</v>
      </c>
      <c r="L389">
        <v>2006</v>
      </c>
      <c r="M389">
        <v>1107626711163.23</v>
      </c>
      <c r="N389">
        <v>2317861544690.8198</v>
      </c>
      <c r="O389">
        <v>1</v>
      </c>
    </row>
    <row r="390" spans="1:15" x14ac:dyDescent="0.3">
      <c r="A390" s="1">
        <v>703</v>
      </c>
      <c r="B390" s="2">
        <v>38899</v>
      </c>
      <c r="C390" s="2">
        <f>_xlfn.FLOOR.MATH([1]!Table1[[#This Row],[year]],10)</f>
        <v>2000</v>
      </c>
      <c r="D390" t="s">
        <v>207</v>
      </c>
      <c r="E390" t="s">
        <v>38</v>
      </c>
      <c r="F390">
        <v>0</v>
      </c>
      <c r="G390">
        <v>0</v>
      </c>
      <c r="H390" t="s">
        <v>74</v>
      </c>
      <c r="I390" t="s">
        <v>95</v>
      </c>
      <c r="J390" t="s">
        <v>16</v>
      </c>
      <c r="K390" t="b">
        <v>1</v>
      </c>
      <c r="L390">
        <v>2006</v>
      </c>
      <c r="M390">
        <v>2719558417663.29</v>
      </c>
      <c r="N390">
        <v>208756449275.84799</v>
      </c>
      <c r="O390">
        <v>0</v>
      </c>
    </row>
    <row r="391" spans="1:15" x14ac:dyDescent="0.3">
      <c r="A391" s="1">
        <v>704</v>
      </c>
      <c r="B391" s="2">
        <v>38902</v>
      </c>
      <c r="C391" s="2">
        <f>_xlfn.FLOOR.MATH([1]!Table1[[#This Row],[year]],10)</f>
        <v>2000</v>
      </c>
      <c r="D391" t="s">
        <v>16</v>
      </c>
      <c r="E391" t="s">
        <v>18</v>
      </c>
      <c r="F391">
        <v>0</v>
      </c>
      <c r="G391">
        <v>2</v>
      </c>
      <c r="H391" t="s">
        <v>74</v>
      </c>
      <c r="I391" t="s">
        <v>93</v>
      </c>
      <c r="J391" t="s">
        <v>16</v>
      </c>
      <c r="K391" t="b">
        <v>0</v>
      </c>
      <c r="L391">
        <v>2006</v>
      </c>
      <c r="M391">
        <v>3046308753670.5801</v>
      </c>
      <c r="N391">
        <v>1958563654385.6399</v>
      </c>
      <c r="O391">
        <v>-1</v>
      </c>
    </row>
    <row r="392" spans="1:15" x14ac:dyDescent="0.3">
      <c r="A392" s="1">
        <v>705</v>
      </c>
      <c r="B392" s="2">
        <v>38903</v>
      </c>
      <c r="C392" s="2">
        <f>_xlfn.FLOOR.MATH([1]!Table1[[#This Row],[year]],10)</f>
        <v>2000</v>
      </c>
      <c r="D392" t="s">
        <v>38</v>
      </c>
      <c r="E392" t="s">
        <v>20</v>
      </c>
      <c r="F392">
        <v>0</v>
      </c>
      <c r="G392">
        <v>1</v>
      </c>
      <c r="H392" t="s">
        <v>74</v>
      </c>
      <c r="I392" t="s">
        <v>89</v>
      </c>
      <c r="J392" t="s">
        <v>16</v>
      </c>
      <c r="K392" t="b">
        <v>1</v>
      </c>
      <c r="L392">
        <v>2006</v>
      </c>
      <c r="M392">
        <v>208756449275.84799</v>
      </c>
      <c r="N392">
        <v>2317861544690.8198</v>
      </c>
      <c r="O392">
        <v>1</v>
      </c>
    </row>
    <row r="393" spans="1:15" x14ac:dyDescent="0.3">
      <c r="A393" s="1">
        <v>706</v>
      </c>
      <c r="B393" s="2">
        <v>38906</v>
      </c>
      <c r="C393" s="2">
        <f>_xlfn.FLOOR.MATH([1]!Table1[[#This Row],[year]],10)</f>
        <v>2000</v>
      </c>
      <c r="D393" t="s">
        <v>16</v>
      </c>
      <c r="E393" t="s">
        <v>38</v>
      </c>
      <c r="F393">
        <v>3</v>
      </c>
      <c r="G393">
        <v>1</v>
      </c>
      <c r="H393" t="s">
        <v>74</v>
      </c>
      <c r="I393" t="s">
        <v>92</v>
      </c>
      <c r="J393" t="s">
        <v>16</v>
      </c>
      <c r="K393" t="b">
        <v>0</v>
      </c>
      <c r="L393">
        <v>2006</v>
      </c>
      <c r="M393">
        <v>3046308753670.5801</v>
      </c>
      <c r="N393">
        <v>208756449275.84799</v>
      </c>
      <c r="O393">
        <v>1</v>
      </c>
    </row>
    <row r="394" spans="1:15" x14ac:dyDescent="0.3">
      <c r="A394" s="1">
        <v>707</v>
      </c>
      <c r="B394" s="2">
        <v>38907</v>
      </c>
      <c r="C394" s="2">
        <f>_xlfn.FLOOR.MATH([1]!Table1[[#This Row],[year]],10)</f>
        <v>2000</v>
      </c>
      <c r="D394" t="s">
        <v>18</v>
      </c>
      <c r="E394" t="s">
        <v>20</v>
      </c>
      <c r="F394">
        <v>1</v>
      </c>
      <c r="G394">
        <v>1</v>
      </c>
      <c r="H394" t="s">
        <v>74</v>
      </c>
      <c r="I394" t="s">
        <v>88</v>
      </c>
      <c r="J394" t="s">
        <v>16</v>
      </c>
      <c r="K394" t="b">
        <v>1</v>
      </c>
      <c r="L394">
        <v>2006</v>
      </c>
      <c r="M394">
        <v>1958563654385.6399</v>
      </c>
      <c r="N394">
        <v>2317861544690.8198</v>
      </c>
      <c r="O394">
        <v>0</v>
      </c>
    </row>
    <row r="395" spans="1:15" x14ac:dyDescent="0.3">
      <c r="A395" s="1">
        <v>708</v>
      </c>
      <c r="B395" s="2">
        <v>40340</v>
      </c>
      <c r="C395" s="2">
        <f>_xlfn.FLOOR.MATH([1]!Table1[[#This Row],[year]],10)</f>
        <v>2010</v>
      </c>
      <c r="D395" t="s">
        <v>50</v>
      </c>
      <c r="E395" t="s">
        <v>17</v>
      </c>
      <c r="F395">
        <v>1</v>
      </c>
      <c r="G395">
        <v>1</v>
      </c>
      <c r="H395" t="s">
        <v>74</v>
      </c>
      <c r="I395" t="s">
        <v>170</v>
      </c>
      <c r="J395" t="s">
        <v>50</v>
      </c>
      <c r="K395" t="b">
        <v>0</v>
      </c>
      <c r="L395">
        <v>2010</v>
      </c>
      <c r="M395">
        <v>417363822801.71301</v>
      </c>
      <c r="N395">
        <v>1105424238731.0901</v>
      </c>
      <c r="O395">
        <v>0</v>
      </c>
    </row>
    <row r="396" spans="1:15" x14ac:dyDescent="0.3">
      <c r="A396" s="1">
        <v>709</v>
      </c>
      <c r="B396" s="2">
        <v>40340</v>
      </c>
      <c r="C396" s="2">
        <f>_xlfn.FLOOR.MATH([1]!Table1[[#This Row],[year]],10)</f>
        <v>2010</v>
      </c>
      <c r="D396" t="s">
        <v>26</v>
      </c>
      <c r="E396" t="s">
        <v>20</v>
      </c>
      <c r="F396">
        <v>0</v>
      </c>
      <c r="G396">
        <v>0</v>
      </c>
      <c r="H396" t="s">
        <v>74</v>
      </c>
      <c r="I396" t="s">
        <v>171</v>
      </c>
      <c r="J396" t="s">
        <v>50</v>
      </c>
      <c r="K396" t="b">
        <v>1</v>
      </c>
      <c r="L396">
        <v>2010</v>
      </c>
      <c r="M396">
        <v>41950361211.958099</v>
      </c>
      <c r="N396">
        <v>2646230027988.3398</v>
      </c>
      <c r="O396">
        <v>0</v>
      </c>
    </row>
    <row r="397" spans="1:15" x14ac:dyDescent="0.3">
      <c r="A397" s="1">
        <v>710</v>
      </c>
      <c r="B397" s="2">
        <v>40341</v>
      </c>
      <c r="C397" s="2">
        <f>_xlfn.FLOOR.MATH([1]!Table1[[#This Row],[year]],10)</f>
        <v>2010</v>
      </c>
      <c r="D397" t="s">
        <v>19</v>
      </c>
      <c r="E397" t="s">
        <v>43</v>
      </c>
      <c r="F397">
        <v>1</v>
      </c>
      <c r="G397">
        <v>0</v>
      </c>
      <c r="H397" t="s">
        <v>74</v>
      </c>
      <c r="I397" t="s">
        <v>170</v>
      </c>
      <c r="J397" t="s">
        <v>50</v>
      </c>
      <c r="K397" t="b">
        <v>1</v>
      </c>
      <c r="L397">
        <v>2010</v>
      </c>
      <c r="M397">
        <v>423627422092.48999</v>
      </c>
      <c r="N397">
        <v>366990417129.03998</v>
      </c>
      <c r="O397">
        <v>1</v>
      </c>
    </row>
    <row r="398" spans="1:15" x14ac:dyDescent="0.3">
      <c r="A398" s="1">
        <v>711</v>
      </c>
      <c r="B398" s="2">
        <v>40341</v>
      </c>
      <c r="C398" s="2">
        <f>_xlfn.FLOOR.MATH([1]!Table1[[#This Row],[year]],10)</f>
        <v>2010</v>
      </c>
      <c r="D398" t="s">
        <v>207</v>
      </c>
      <c r="E398" t="s">
        <v>41</v>
      </c>
      <c r="F398">
        <v>1</v>
      </c>
      <c r="G398">
        <v>1</v>
      </c>
      <c r="H398" t="s">
        <v>74</v>
      </c>
      <c r="I398" t="s">
        <v>178</v>
      </c>
      <c r="J398" t="s">
        <v>50</v>
      </c>
      <c r="K398" t="b">
        <v>1</v>
      </c>
      <c r="L398">
        <v>2010</v>
      </c>
      <c r="M398">
        <v>2496740681057.1401</v>
      </c>
      <c r="N398">
        <v>15048964444000</v>
      </c>
      <c r="O398">
        <v>0</v>
      </c>
    </row>
    <row r="399" spans="1:15" x14ac:dyDescent="0.3">
      <c r="A399" s="1">
        <v>713</v>
      </c>
      <c r="B399" s="2">
        <v>40342</v>
      </c>
      <c r="C399" s="2">
        <f>_xlfn.FLOOR.MATH([1]!Table1[[#This Row],[year]],10)</f>
        <v>2010</v>
      </c>
      <c r="D399" t="s">
        <v>32</v>
      </c>
      <c r="E399" t="s">
        <v>55</v>
      </c>
      <c r="F399">
        <v>0</v>
      </c>
      <c r="G399">
        <v>1</v>
      </c>
      <c r="H399" t="s">
        <v>74</v>
      </c>
      <c r="I399" t="s">
        <v>172</v>
      </c>
      <c r="J399" t="s">
        <v>50</v>
      </c>
      <c r="K399" t="b">
        <v>1</v>
      </c>
      <c r="L399">
        <v>2010</v>
      </c>
      <c r="M399">
        <v>177785053939.53101</v>
      </c>
      <c r="N399">
        <v>47793117240.900101</v>
      </c>
      <c r="O399">
        <v>-1</v>
      </c>
    </row>
    <row r="400" spans="1:15" x14ac:dyDescent="0.3">
      <c r="A400" s="1">
        <v>714</v>
      </c>
      <c r="B400" s="2">
        <v>40342</v>
      </c>
      <c r="C400" s="2">
        <f>_xlfn.FLOOR.MATH([1]!Table1[[#This Row],[year]],10)</f>
        <v>2010</v>
      </c>
      <c r="D400" t="s">
        <v>16</v>
      </c>
      <c r="E400" t="s">
        <v>28</v>
      </c>
      <c r="F400">
        <v>4</v>
      </c>
      <c r="G400">
        <v>0</v>
      </c>
      <c r="H400" t="s">
        <v>74</v>
      </c>
      <c r="I400" t="s">
        <v>173</v>
      </c>
      <c r="J400" t="s">
        <v>50</v>
      </c>
      <c r="K400" t="b">
        <v>1</v>
      </c>
      <c r="L400">
        <v>2010</v>
      </c>
      <c r="M400">
        <v>3467093769666.6699</v>
      </c>
      <c r="N400">
        <v>1152566632022.1299</v>
      </c>
      <c r="O400">
        <v>1</v>
      </c>
    </row>
    <row r="401" spans="1:15" x14ac:dyDescent="0.3">
      <c r="A401" s="1">
        <v>715</v>
      </c>
      <c r="B401" s="2">
        <v>40342</v>
      </c>
      <c r="C401" s="2">
        <f>_xlfn.FLOOR.MATH([1]!Table1[[#This Row],[year]],10)</f>
        <v>2010</v>
      </c>
      <c r="D401" t="s">
        <v>61</v>
      </c>
      <c r="E401" t="s">
        <v>63</v>
      </c>
      <c r="F401">
        <v>0</v>
      </c>
      <c r="G401">
        <v>1</v>
      </c>
      <c r="H401" t="s">
        <v>74</v>
      </c>
      <c r="I401" t="s">
        <v>174</v>
      </c>
      <c r="J401" t="s">
        <v>50</v>
      </c>
      <c r="K401" t="b">
        <v>1</v>
      </c>
      <c r="L401">
        <v>2010</v>
      </c>
      <c r="M401">
        <v>43536629233.142403</v>
      </c>
      <c r="N401">
        <v>32197655566.534698</v>
      </c>
      <c r="O401">
        <v>-1</v>
      </c>
    </row>
    <row r="402" spans="1:15" x14ac:dyDescent="0.3">
      <c r="A402" s="1">
        <v>716</v>
      </c>
      <c r="B402" s="2">
        <v>40343</v>
      </c>
      <c r="C402" s="2">
        <f>_xlfn.FLOOR.MATH([1]!Table1[[#This Row],[year]],10)</f>
        <v>2010</v>
      </c>
      <c r="D402" t="s">
        <v>18</v>
      </c>
      <c r="E402" t="s">
        <v>35</v>
      </c>
      <c r="F402">
        <v>1</v>
      </c>
      <c r="G402">
        <v>1</v>
      </c>
      <c r="H402" t="s">
        <v>74</v>
      </c>
      <c r="I402" t="s">
        <v>171</v>
      </c>
      <c r="J402" t="s">
        <v>50</v>
      </c>
      <c r="K402" t="b">
        <v>1</v>
      </c>
      <c r="L402">
        <v>2010</v>
      </c>
      <c r="M402">
        <v>2144936254535</v>
      </c>
      <c r="N402">
        <v>27260886405.2341</v>
      </c>
      <c r="O402">
        <v>0</v>
      </c>
    </row>
    <row r="403" spans="1:15" x14ac:dyDescent="0.3">
      <c r="A403" s="1">
        <v>717</v>
      </c>
      <c r="B403" s="2">
        <v>40343</v>
      </c>
      <c r="C403" s="2">
        <f>_xlfn.FLOOR.MATH([1]!Table1[[#This Row],[year]],10)</f>
        <v>2010</v>
      </c>
      <c r="D403" t="s">
        <v>51</v>
      </c>
      <c r="E403" t="s">
        <v>40</v>
      </c>
      <c r="F403">
        <v>1</v>
      </c>
      <c r="G403">
        <v>0</v>
      </c>
      <c r="H403" t="s">
        <v>74</v>
      </c>
      <c r="I403" t="s">
        <v>175</v>
      </c>
      <c r="J403" t="s">
        <v>50</v>
      </c>
      <c r="K403" t="b">
        <v>1</v>
      </c>
      <c r="L403">
        <v>2010</v>
      </c>
      <c r="M403">
        <v>5759071769013.1104</v>
      </c>
      <c r="N403">
        <v>27507501821.029598</v>
      </c>
      <c r="O403">
        <v>1</v>
      </c>
    </row>
    <row r="404" spans="1:15" x14ac:dyDescent="0.3">
      <c r="A404" s="1">
        <v>718</v>
      </c>
      <c r="B404" s="2">
        <v>40343</v>
      </c>
      <c r="C404" s="2">
        <f>_xlfn.FLOOR.MATH([1]!Table1[[#This Row],[year]],10)</f>
        <v>2010</v>
      </c>
      <c r="D404" t="s">
        <v>27</v>
      </c>
      <c r="E404" t="s">
        <v>36</v>
      </c>
      <c r="F404">
        <v>2</v>
      </c>
      <c r="G404">
        <v>0</v>
      </c>
      <c r="H404" t="s">
        <v>74</v>
      </c>
      <c r="I404" t="s">
        <v>170</v>
      </c>
      <c r="J404" t="s">
        <v>50</v>
      </c>
      <c r="K404" t="b">
        <v>1</v>
      </c>
      <c r="L404">
        <v>2010</v>
      </c>
      <c r="M404">
        <v>852464982433.33496</v>
      </c>
      <c r="N404">
        <v>322345594075.46997</v>
      </c>
      <c r="O404">
        <v>1</v>
      </c>
    </row>
    <row r="405" spans="1:15" x14ac:dyDescent="0.3">
      <c r="A405" s="1">
        <v>722</v>
      </c>
      <c r="B405" s="2">
        <v>40345</v>
      </c>
      <c r="C405" s="2">
        <f>_xlfn.FLOOR.MATH([1]!Table1[[#This Row],[year]],10)</f>
        <v>2010</v>
      </c>
      <c r="D405" t="s">
        <v>65</v>
      </c>
      <c r="E405" t="s">
        <v>14</v>
      </c>
      <c r="F405">
        <v>0</v>
      </c>
      <c r="G405">
        <v>1</v>
      </c>
      <c r="H405" t="s">
        <v>74</v>
      </c>
      <c r="I405" t="s">
        <v>176</v>
      </c>
      <c r="J405" t="s">
        <v>50</v>
      </c>
      <c r="K405" t="b">
        <v>1</v>
      </c>
      <c r="L405">
        <v>2010</v>
      </c>
      <c r="M405">
        <v>15839344591.9842</v>
      </c>
      <c r="N405">
        <v>217051209238.534</v>
      </c>
      <c r="O405">
        <v>1</v>
      </c>
    </row>
    <row r="406" spans="1:15" x14ac:dyDescent="0.3">
      <c r="A406" s="1">
        <v>723</v>
      </c>
      <c r="B406" s="2">
        <v>40345</v>
      </c>
      <c r="C406" s="2">
        <f>_xlfn.FLOOR.MATH([1]!Table1[[#This Row],[year]],10)</f>
        <v>2010</v>
      </c>
      <c r="D406" t="s">
        <v>50</v>
      </c>
      <c r="E406" t="s">
        <v>26</v>
      </c>
      <c r="F406">
        <v>0</v>
      </c>
      <c r="G406">
        <v>3</v>
      </c>
      <c r="H406" t="s">
        <v>74</v>
      </c>
      <c r="I406" t="s">
        <v>174</v>
      </c>
      <c r="J406" t="s">
        <v>50</v>
      </c>
      <c r="K406" t="b">
        <v>0</v>
      </c>
      <c r="L406">
        <v>2010</v>
      </c>
      <c r="M406">
        <v>417363822801.71301</v>
      </c>
      <c r="N406">
        <v>41950361211.958099</v>
      </c>
      <c r="O406">
        <v>-1</v>
      </c>
    </row>
    <row r="407" spans="1:15" x14ac:dyDescent="0.3">
      <c r="A407" s="1">
        <v>724</v>
      </c>
      <c r="B407" s="2">
        <v>40345</v>
      </c>
      <c r="C407" s="2">
        <f>_xlfn.FLOOR.MATH([1]!Table1[[#This Row],[year]],10)</f>
        <v>2010</v>
      </c>
      <c r="D407" t="s">
        <v>21</v>
      </c>
      <c r="E407" t="s">
        <v>46</v>
      </c>
      <c r="F407">
        <v>0</v>
      </c>
      <c r="G407">
        <v>1</v>
      </c>
      <c r="H407" t="s">
        <v>74</v>
      </c>
      <c r="I407" t="s">
        <v>173</v>
      </c>
      <c r="J407" t="s">
        <v>50</v>
      </c>
      <c r="K407" t="b">
        <v>1</v>
      </c>
      <c r="L407">
        <v>2010</v>
      </c>
      <c r="M407">
        <v>1427989078916.6699</v>
      </c>
      <c r="N407">
        <v>598851028906.57996</v>
      </c>
      <c r="O407">
        <v>-1</v>
      </c>
    </row>
    <row r="408" spans="1:15" x14ac:dyDescent="0.3">
      <c r="A408" s="1">
        <v>726</v>
      </c>
      <c r="B408" s="2">
        <v>40346</v>
      </c>
      <c r="C408" s="2">
        <f>_xlfn.FLOOR.MATH([1]!Table1[[#This Row],[year]],10)</f>
        <v>2010</v>
      </c>
      <c r="D408" t="s">
        <v>20</v>
      </c>
      <c r="E408" t="s">
        <v>17</v>
      </c>
      <c r="F408">
        <v>0</v>
      </c>
      <c r="G408">
        <v>2</v>
      </c>
      <c r="H408" t="s">
        <v>74</v>
      </c>
      <c r="I408" t="s">
        <v>172</v>
      </c>
      <c r="J408" t="s">
        <v>50</v>
      </c>
      <c r="K408" t="b">
        <v>1</v>
      </c>
      <c r="L408">
        <v>2010</v>
      </c>
      <c r="M408">
        <v>2646230027988.3398</v>
      </c>
      <c r="N408">
        <v>1105424238731.0901</v>
      </c>
      <c r="O408">
        <v>-1</v>
      </c>
    </row>
    <row r="409" spans="1:15" x14ac:dyDescent="0.3">
      <c r="A409" s="1">
        <v>727</v>
      </c>
      <c r="B409" s="2">
        <v>40346</v>
      </c>
      <c r="C409" s="2">
        <f>_xlfn.FLOOR.MATH([1]!Table1[[#This Row],[year]],10)</f>
        <v>2010</v>
      </c>
      <c r="D409" t="s">
        <v>48</v>
      </c>
      <c r="E409" t="s">
        <v>43</v>
      </c>
      <c r="F409">
        <v>2</v>
      </c>
      <c r="G409">
        <v>1</v>
      </c>
      <c r="H409" t="s">
        <v>74</v>
      </c>
      <c r="I409" t="s">
        <v>175</v>
      </c>
      <c r="J409" t="s">
        <v>50</v>
      </c>
      <c r="K409" t="b">
        <v>1</v>
      </c>
      <c r="L409">
        <v>2010</v>
      </c>
      <c r="M409">
        <v>296417644404.034</v>
      </c>
      <c r="N409">
        <v>366990417129.03998</v>
      </c>
      <c r="O409">
        <v>-1</v>
      </c>
    </row>
    <row r="410" spans="1:15" x14ac:dyDescent="0.3">
      <c r="A410" s="1">
        <v>728</v>
      </c>
      <c r="B410" s="2">
        <v>40347</v>
      </c>
      <c r="C410" s="2">
        <f>_xlfn.FLOOR.MATH([1]!Table1[[#This Row],[year]],10)</f>
        <v>2010</v>
      </c>
      <c r="D410" t="s">
        <v>207</v>
      </c>
      <c r="E410" t="s">
        <v>32</v>
      </c>
      <c r="F410">
        <v>0</v>
      </c>
      <c r="G410">
        <v>0</v>
      </c>
      <c r="H410" t="s">
        <v>74</v>
      </c>
      <c r="I410" t="s">
        <v>171</v>
      </c>
      <c r="J410" t="s">
        <v>50</v>
      </c>
      <c r="K410" t="b">
        <v>1</v>
      </c>
      <c r="L410">
        <v>2010</v>
      </c>
      <c r="M410">
        <v>2496740681057.1401</v>
      </c>
      <c r="N410">
        <v>177785053939.53101</v>
      </c>
      <c r="O410">
        <v>0</v>
      </c>
    </row>
    <row r="411" spans="1:15" x14ac:dyDescent="0.3">
      <c r="A411" s="1">
        <v>729</v>
      </c>
      <c r="B411" s="2">
        <v>40347</v>
      </c>
      <c r="C411" s="2">
        <f>_xlfn.FLOOR.MATH([1]!Table1[[#This Row],[year]],10)</f>
        <v>2010</v>
      </c>
      <c r="D411" t="s">
        <v>16</v>
      </c>
      <c r="E411" t="s">
        <v>61</v>
      </c>
      <c r="F411">
        <v>0</v>
      </c>
      <c r="G411">
        <v>1</v>
      </c>
      <c r="H411" t="s">
        <v>74</v>
      </c>
      <c r="I411" t="s">
        <v>177</v>
      </c>
      <c r="J411" t="s">
        <v>50</v>
      </c>
      <c r="K411" t="b">
        <v>1</v>
      </c>
      <c r="L411">
        <v>2010</v>
      </c>
      <c r="M411">
        <v>3467093769666.6699</v>
      </c>
      <c r="N411">
        <v>43536629233.142403</v>
      </c>
      <c r="O411">
        <v>-1</v>
      </c>
    </row>
    <row r="412" spans="1:15" x14ac:dyDescent="0.3">
      <c r="A412" s="1">
        <v>730</v>
      </c>
      <c r="B412" s="2">
        <v>40347</v>
      </c>
      <c r="C412" s="2">
        <f>_xlfn.FLOOR.MATH([1]!Table1[[#This Row],[year]],10)</f>
        <v>2010</v>
      </c>
      <c r="D412" t="s">
        <v>55</v>
      </c>
      <c r="E412" t="s">
        <v>41</v>
      </c>
      <c r="F412">
        <v>2</v>
      </c>
      <c r="G412">
        <v>2</v>
      </c>
      <c r="H412" t="s">
        <v>74</v>
      </c>
      <c r="I412" t="s">
        <v>170</v>
      </c>
      <c r="J412" t="s">
        <v>50</v>
      </c>
      <c r="K412" t="b">
        <v>1</v>
      </c>
      <c r="L412">
        <v>2010</v>
      </c>
      <c r="M412">
        <v>47793117240.900101</v>
      </c>
      <c r="N412">
        <v>15048964444000</v>
      </c>
      <c r="O412">
        <v>0</v>
      </c>
    </row>
    <row r="413" spans="1:15" x14ac:dyDescent="0.3">
      <c r="A413" s="1">
        <v>731</v>
      </c>
      <c r="B413" s="2">
        <v>40348</v>
      </c>
      <c r="C413" s="2">
        <f>_xlfn.FLOOR.MATH([1]!Table1[[#This Row],[year]],10)</f>
        <v>2010</v>
      </c>
      <c r="D413" t="s">
        <v>40</v>
      </c>
      <c r="E413" t="s">
        <v>36</v>
      </c>
      <c r="F413">
        <v>1</v>
      </c>
      <c r="G413">
        <v>2</v>
      </c>
      <c r="H413" t="s">
        <v>74</v>
      </c>
      <c r="I413" t="s">
        <v>174</v>
      </c>
      <c r="J413" t="s">
        <v>50</v>
      </c>
      <c r="K413" t="b">
        <v>1</v>
      </c>
      <c r="L413">
        <v>2010</v>
      </c>
      <c r="M413">
        <v>27507501821.029598</v>
      </c>
      <c r="N413">
        <v>322345594075.46997</v>
      </c>
      <c r="O413">
        <v>1</v>
      </c>
    </row>
    <row r="414" spans="1:15" x14ac:dyDescent="0.3">
      <c r="A414" s="1">
        <v>732</v>
      </c>
      <c r="B414" s="2">
        <v>40348</v>
      </c>
      <c r="C414" s="2">
        <f>_xlfn.FLOOR.MATH([1]!Table1[[#This Row],[year]],10)</f>
        <v>2010</v>
      </c>
      <c r="D414" t="s">
        <v>63</v>
      </c>
      <c r="E414" t="s">
        <v>28</v>
      </c>
      <c r="F414">
        <v>1</v>
      </c>
      <c r="G414">
        <v>1</v>
      </c>
      <c r="H414" t="s">
        <v>74</v>
      </c>
      <c r="I414" t="s">
        <v>178</v>
      </c>
      <c r="J414" t="s">
        <v>50</v>
      </c>
      <c r="K414" t="b">
        <v>1</v>
      </c>
      <c r="L414">
        <v>2010</v>
      </c>
      <c r="M414">
        <v>32197655566.534698</v>
      </c>
      <c r="N414">
        <v>1152566632022.1299</v>
      </c>
      <c r="O414">
        <v>0</v>
      </c>
    </row>
    <row r="415" spans="1:15" x14ac:dyDescent="0.3">
      <c r="A415" s="1">
        <v>733</v>
      </c>
      <c r="B415" s="2">
        <v>40348</v>
      </c>
      <c r="C415" s="2">
        <f>_xlfn.FLOOR.MATH([1]!Table1[[#This Row],[year]],10)</f>
        <v>2010</v>
      </c>
      <c r="D415" t="s">
        <v>27</v>
      </c>
      <c r="E415" t="s">
        <v>51</v>
      </c>
      <c r="F415">
        <v>1</v>
      </c>
      <c r="G415">
        <v>0</v>
      </c>
      <c r="H415" t="s">
        <v>74</v>
      </c>
      <c r="I415" t="s">
        <v>173</v>
      </c>
      <c r="J415" t="s">
        <v>50</v>
      </c>
      <c r="K415" t="b">
        <v>1</v>
      </c>
      <c r="L415">
        <v>2010</v>
      </c>
      <c r="M415">
        <v>852464982433.33496</v>
      </c>
      <c r="N415">
        <v>5759071769013.1104</v>
      </c>
      <c r="O415">
        <v>-1</v>
      </c>
    </row>
    <row r="416" spans="1:15" x14ac:dyDescent="0.3">
      <c r="A416" s="1">
        <v>735</v>
      </c>
      <c r="B416" s="2">
        <v>40349</v>
      </c>
      <c r="C416" s="2">
        <f>_xlfn.FLOOR.MATH([1]!Table1[[#This Row],[year]],10)</f>
        <v>2010</v>
      </c>
      <c r="D416" t="s">
        <v>18</v>
      </c>
      <c r="E416" t="s">
        <v>72</v>
      </c>
      <c r="F416">
        <v>1</v>
      </c>
      <c r="G416">
        <v>1</v>
      </c>
      <c r="H416" t="s">
        <v>74</v>
      </c>
      <c r="I416" t="s">
        <v>176</v>
      </c>
      <c r="J416" t="s">
        <v>50</v>
      </c>
      <c r="K416" t="b">
        <v>1</v>
      </c>
      <c r="L416">
        <v>2010</v>
      </c>
      <c r="M416">
        <v>2144936254535</v>
      </c>
      <c r="N416">
        <v>146887902524.052</v>
      </c>
      <c r="O416">
        <v>0</v>
      </c>
    </row>
    <row r="417" spans="1:15" x14ac:dyDescent="0.3">
      <c r="A417" s="1">
        <v>737</v>
      </c>
      <c r="B417" s="2">
        <v>40350</v>
      </c>
      <c r="C417" s="2">
        <f>_xlfn.FLOOR.MATH([1]!Table1[[#This Row],[year]],10)</f>
        <v>2010</v>
      </c>
      <c r="D417" t="s">
        <v>14</v>
      </c>
      <c r="E417" t="s">
        <v>46</v>
      </c>
      <c r="F417">
        <v>1</v>
      </c>
      <c r="G417">
        <v>0</v>
      </c>
      <c r="H417" t="s">
        <v>74</v>
      </c>
      <c r="I417" t="s">
        <v>177</v>
      </c>
      <c r="J417" t="s">
        <v>50</v>
      </c>
      <c r="K417" t="b">
        <v>1</v>
      </c>
      <c r="L417">
        <v>2010</v>
      </c>
      <c r="M417">
        <v>217051209238.534</v>
      </c>
      <c r="N417">
        <v>598851028906.57996</v>
      </c>
      <c r="O417">
        <v>-1</v>
      </c>
    </row>
    <row r="418" spans="1:15" x14ac:dyDescent="0.3">
      <c r="A418" s="1">
        <v>739</v>
      </c>
      <c r="B418" s="2">
        <v>40350</v>
      </c>
      <c r="C418" s="2">
        <f>_xlfn.FLOOR.MATH([1]!Table1[[#This Row],[year]],10)</f>
        <v>2010</v>
      </c>
      <c r="D418" t="s">
        <v>21</v>
      </c>
      <c r="E418" t="s">
        <v>65</v>
      </c>
      <c r="F418">
        <v>2</v>
      </c>
      <c r="G418">
        <v>0</v>
      </c>
      <c r="H418" t="s">
        <v>74</v>
      </c>
      <c r="I418" t="s">
        <v>170</v>
      </c>
      <c r="J418" t="s">
        <v>50</v>
      </c>
      <c r="K418" t="b">
        <v>1</v>
      </c>
      <c r="L418">
        <v>2010</v>
      </c>
      <c r="M418">
        <v>1427989078916.6699</v>
      </c>
      <c r="N418">
        <v>15839344591.9842</v>
      </c>
      <c r="O418">
        <v>1</v>
      </c>
    </row>
    <row r="419" spans="1:15" x14ac:dyDescent="0.3">
      <c r="A419" s="1">
        <v>740</v>
      </c>
      <c r="B419" s="2">
        <v>40351</v>
      </c>
      <c r="C419" s="2">
        <f>_xlfn.FLOOR.MATH([1]!Table1[[#This Row],[year]],10)</f>
        <v>2010</v>
      </c>
      <c r="D419" t="s">
        <v>48</v>
      </c>
      <c r="E419" t="s">
        <v>19</v>
      </c>
      <c r="F419">
        <v>0</v>
      </c>
      <c r="G419">
        <v>2</v>
      </c>
      <c r="H419" t="s">
        <v>74</v>
      </c>
      <c r="I419" t="s">
        <v>172</v>
      </c>
      <c r="J419" t="s">
        <v>50</v>
      </c>
      <c r="K419" t="b">
        <v>1</v>
      </c>
      <c r="L419">
        <v>2010</v>
      </c>
      <c r="M419">
        <v>296417644404.034</v>
      </c>
      <c r="N419">
        <v>423627422092.48999</v>
      </c>
      <c r="O419">
        <v>1</v>
      </c>
    </row>
    <row r="420" spans="1:15" x14ac:dyDescent="0.3">
      <c r="A420" s="1">
        <v>741</v>
      </c>
      <c r="B420" s="2">
        <v>40351</v>
      </c>
      <c r="C420" s="2">
        <f>_xlfn.FLOOR.MATH([1]!Table1[[#This Row],[year]],10)</f>
        <v>2010</v>
      </c>
      <c r="D420" t="s">
        <v>17</v>
      </c>
      <c r="E420" t="s">
        <v>26</v>
      </c>
      <c r="F420">
        <v>0</v>
      </c>
      <c r="G420">
        <v>1</v>
      </c>
      <c r="H420" t="s">
        <v>74</v>
      </c>
      <c r="I420" t="s">
        <v>178</v>
      </c>
      <c r="J420" t="s">
        <v>50</v>
      </c>
      <c r="K420" t="b">
        <v>1</v>
      </c>
      <c r="L420">
        <v>2010</v>
      </c>
      <c r="M420">
        <v>1105424238731.0901</v>
      </c>
      <c r="N420">
        <v>41950361211.958099</v>
      </c>
      <c r="O420">
        <v>-1</v>
      </c>
    </row>
    <row r="421" spans="1:15" x14ac:dyDescent="0.3">
      <c r="A421" s="1">
        <v>743</v>
      </c>
      <c r="B421" s="2">
        <v>40351</v>
      </c>
      <c r="C421" s="2">
        <f>_xlfn.FLOOR.MATH([1]!Table1[[#This Row],[year]],10)</f>
        <v>2010</v>
      </c>
      <c r="D421" t="s">
        <v>50</v>
      </c>
      <c r="E421" t="s">
        <v>20</v>
      </c>
      <c r="F421">
        <v>2</v>
      </c>
      <c r="G421">
        <v>1</v>
      </c>
      <c r="H421" t="s">
        <v>74</v>
      </c>
      <c r="I421" t="s">
        <v>175</v>
      </c>
      <c r="J421" t="s">
        <v>50</v>
      </c>
      <c r="K421" t="b">
        <v>0</v>
      </c>
      <c r="L421">
        <v>2010</v>
      </c>
      <c r="M421">
        <v>417363822801.71301</v>
      </c>
      <c r="N421">
        <v>2646230027988.3398</v>
      </c>
      <c r="O421">
        <v>-1</v>
      </c>
    </row>
    <row r="422" spans="1:15" x14ac:dyDescent="0.3">
      <c r="A422" s="1">
        <v>744</v>
      </c>
      <c r="B422" s="2">
        <v>40352</v>
      </c>
      <c r="C422" s="2">
        <f>_xlfn.FLOOR.MATH([1]!Table1[[#This Row],[year]],10)</f>
        <v>2010</v>
      </c>
      <c r="D422" t="s">
        <v>28</v>
      </c>
      <c r="E422" t="s">
        <v>61</v>
      </c>
      <c r="F422">
        <v>2</v>
      </c>
      <c r="G422">
        <v>1</v>
      </c>
      <c r="H422" t="s">
        <v>74</v>
      </c>
      <c r="I422" t="s">
        <v>176</v>
      </c>
      <c r="J422" t="s">
        <v>50</v>
      </c>
      <c r="K422" t="b">
        <v>1</v>
      </c>
      <c r="L422">
        <v>2010</v>
      </c>
      <c r="M422">
        <v>1152566632022.1299</v>
      </c>
      <c r="N422">
        <v>43536629233.142403</v>
      </c>
      <c r="O422">
        <v>1</v>
      </c>
    </row>
    <row r="423" spans="1:15" x14ac:dyDescent="0.3">
      <c r="A423" s="1">
        <v>745</v>
      </c>
      <c r="B423" s="2">
        <v>40352</v>
      </c>
      <c r="C423" s="2">
        <f>_xlfn.FLOOR.MATH([1]!Table1[[#This Row],[year]],10)</f>
        <v>2010</v>
      </c>
      <c r="D423" t="s">
        <v>63</v>
      </c>
      <c r="E423" t="s">
        <v>16</v>
      </c>
      <c r="F423">
        <v>0</v>
      </c>
      <c r="G423">
        <v>1</v>
      </c>
      <c r="H423" t="s">
        <v>74</v>
      </c>
      <c r="I423" t="s">
        <v>170</v>
      </c>
      <c r="J423" t="s">
        <v>50</v>
      </c>
      <c r="K423" t="b">
        <v>1</v>
      </c>
      <c r="L423">
        <v>2010</v>
      </c>
      <c r="M423">
        <v>32197655566.534698</v>
      </c>
      <c r="N423">
        <v>3467093769666.6699</v>
      </c>
      <c r="O423">
        <v>1</v>
      </c>
    </row>
    <row r="424" spans="1:15" x14ac:dyDescent="0.3">
      <c r="A424" s="1">
        <v>746</v>
      </c>
      <c r="B424" s="2">
        <v>40352</v>
      </c>
      <c r="C424" s="2">
        <f>_xlfn.FLOOR.MATH([1]!Table1[[#This Row],[year]],10)</f>
        <v>2010</v>
      </c>
      <c r="D424" t="s">
        <v>55</v>
      </c>
      <c r="E424" t="s">
        <v>207</v>
      </c>
      <c r="F424">
        <v>0</v>
      </c>
      <c r="G424">
        <v>1</v>
      </c>
      <c r="H424" t="s">
        <v>74</v>
      </c>
      <c r="I424" t="s">
        <v>177</v>
      </c>
      <c r="J424" t="s">
        <v>50</v>
      </c>
      <c r="K424" t="b">
        <v>1</v>
      </c>
      <c r="L424">
        <v>2010</v>
      </c>
      <c r="M424">
        <v>47793117240.900101</v>
      </c>
      <c r="N424">
        <v>2496740681057.1401</v>
      </c>
      <c r="O424">
        <v>1</v>
      </c>
    </row>
    <row r="425" spans="1:15" x14ac:dyDescent="0.3">
      <c r="A425" s="1">
        <v>747</v>
      </c>
      <c r="B425" s="2">
        <v>40352</v>
      </c>
      <c r="C425" s="2">
        <f>_xlfn.FLOOR.MATH([1]!Table1[[#This Row],[year]],10)</f>
        <v>2010</v>
      </c>
      <c r="D425" t="s">
        <v>41</v>
      </c>
      <c r="E425" t="s">
        <v>32</v>
      </c>
      <c r="F425">
        <v>1</v>
      </c>
      <c r="G425">
        <v>0</v>
      </c>
      <c r="H425" t="s">
        <v>74</v>
      </c>
      <c r="I425" t="s">
        <v>174</v>
      </c>
      <c r="J425" t="s">
        <v>50</v>
      </c>
      <c r="K425" t="b">
        <v>1</v>
      </c>
      <c r="L425">
        <v>2010</v>
      </c>
      <c r="M425">
        <v>15048964444000</v>
      </c>
      <c r="N425">
        <v>177785053939.53101</v>
      </c>
      <c r="O425">
        <v>1</v>
      </c>
    </row>
    <row r="426" spans="1:15" x14ac:dyDescent="0.3">
      <c r="A426" s="1">
        <v>748</v>
      </c>
      <c r="B426" s="2">
        <v>40353</v>
      </c>
      <c r="C426" s="2">
        <f>_xlfn.FLOOR.MATH([1]!Table1[[#This Row],[year]],10)</f>
        <v>2010</v>
      </c>
      <c r="D426" t="s">
        <v>40</v>
      </c>
      <c r="E426" t="s">
        <v>27</v>
      </c>
      <c r="F426">
        <v>1</v>
      </c>
      <c r="G426">
        <v>2</v>
      </c>
      <c r="H426" t="s">
        <v>74</v>
      </c>
      <c r="I426" t="s">
        <v>171</v>
      </c>
      <c r="J426" t="s">
        <v>50</v>
      </c>
      <c r="K426" t="b">
        <v>1</v>
      </c>
      <c r="L426">
        <v>2010</v>
      </c>
      <c r="M426">
        <v>27507501821.029598</v>
      </c>
      <c r="N426">
        <v>852464982433.33496</v>
      </c>
      <c r="O426">
        <v>1</v>
      </c>
    </row>
    <row r="427" spans="1:15" x14ac:dyDescent="0.3">
      <c r="A427" s="1">
        <v>749</v>
      </c>
      <c r="B427" s="2">
        <v>40353</v>
      </c>
      <c r="C427" s="2">
        <f>_xlfn.FLOOR.MATH([1]!Table1[[#This Row],[year]],10)</f>
        <v>2010</v>
      </c>
      <c r="D427" t="s">
        <v>36</v>
      </c>
      <c r="E427" t="s">
        <v>51</v>
      </c>
      <c r="F427">
        <v>1</v>
      </c>
      <c r="G427">
        <v>3</v>
      </c>
      <c r="H427" t="s">
        <v>74</v>
      </c>
      <c r="I427" t="s">
        <v>178</v>
      </c>
      <c r="J427" t="s">
        <v>50</v>
      </c>
      <c r="K427" t="b">
        <v>1</v>
      </c>
      <c r="L427">
        <v>2010</v>
      </c>
      <c r="M427">
        <v>322345594075.46997</v>
      </c>
      <c r="N427">
        <v>5759071769013.1104</v>
      </c>
      <c r="O427">
        <v>1</v>
      </c>
    </row>
    <row r="428" spans="1:15" x14ac:dyDescent="0.3">
      <c r="A428" s="1">
        <v>750</v>
      </c>
      <c r="B428" s="2">
        <v>40353</v>
      </c>
      <c r="C428" s="2">
        <f>_xlfn.FLOOR.MATH([1]!Table1[[#This Row],[year]],10)</f>
        <v>2010</v>
      </c>
      <c r="D428" t="s">
        <v>35</v>
      </c>
      <c r="E428" t="s">
        <v>72</v>
      </c>
      <c r="F428">
        <v>0</v>
      </c>
      <c r="G428">
        <v>0</v>
      </c>
      <c r="H428" t="s">
        <v>74</v>
      </c>
      <c r="I428" t="s">
        <v>172</v>
      </c>
      <c r="J428" t="s">
        <v>50</v>
      </c>
      <c r="K428" t="b">
        <v>1</v>
      </c>
      <c r="L428">
        <v>2010</v>
      </c>
      <c r="M428">
        <v>27260886405.2341</v>
      </c>
      <c r="N428">
        <v>146887902524.052</v>
      </c>
      <c r="O428">
        <v>0</v>
      </c>
    </row>
    <row r="429" spans="1:15" x14ac:dyDescent="0.3">
      <c r="A429" s="1">
        <v>752</v>
      </c>
      <c r="B429" s="2">
        <v>40354</v>
      </c>
      <c r="C429" s="2">
        <f>_xlfn.FLOOR.MATH([1]!Table1[[#This Row],[year]],10)</f>
        <v>2010</v>
      </c>
      <c r="D429" t="s">
        <v>14</v>
      </c>
      <c r="E429" t="s">
        <v>21</v>
      </c>
      <c r="F429">
        <v>1</v>
      </c>
      <c r="G429">
        <v>2</v>
      </c>
      <c r="H429" t="s">
        <v>74</v>
      </c>
      <c r="I429" t="s">
        <v>174</v>
      </c>
      <c r="J429" t="s">
        <v>50</v>
      </c>
      <c r="K429" t="b">
        <v>1</v>
      </c>
      <c r="L429">
        <v>2010</v>
      </c>
      <c r="M429">
        <v>217051209238.534</v>
      </c>
      <c r="N429">
        <v>1427989078916.6699</v>
      </c>
      <c r="O429">
        <v>1</v>
      </c>
    </row>
    <row r="430" spans="1:15" x14ac:dyDescent="0.3">
      <c r="A430" s="1">
        <v>754</v>
      </c>
      <c r="B430" s="2">
        <v>40354</v>
      </c>
      <c r="C430" s="2">
        <f>_xlfn.FLOOR.MATH([1]!Table1[[#This Row],[year]],10)</f>
        <v>2010</v>
      </c>
      <c r="D430" t="s">
        <v>38</v>
      </c>
      <c r="E430" t="s">
        <v>13</v>
      </c>
      <c r="F430">
        <v>0</v>
      </c>
      <c r="G430">
        <v>0</v>
      </c>
      <c r="H430" t="s">
        <v>74</v>
      </c>
      <c r="I430" t="s">
        <v>173</v>
      </c>
      <c r="J430" t="s">
        <v>50</v>
      </c>
      <c r="K430" t="b">
        <v>1</v>
      </c>
      <c r="L430">
        <v>2010</v>
      </c>
      <c r="M430">
        <v>238443864993.21701</v>
      </c>
      <c r="N430">
        <v>2208838108484.3501</v>
      </c>
      <c r="O430">
        <v>0</v>
      </c>
    </row>
    <row r="431" spans="1:15" x14ac:dyDescent="0.3">
      <c r="A431" s="1">
        <v>755</v>
      </c>
      <c r="B431" s="2">
        <v>40354</v>
      </c>
      <c r="C431" s="2">
        <f>_xlfn.FLOOR.MATH([1]!Table1[[#This Row],[year]],10)</f>
        <v>2010</v>
      </c>
      <c r="D431" t="s">
        <v>46</v>
      </c>
      <c r="E431" t="s">
        <v>65</v>
      </c>
      <c r="F431">
        <v>0</v>
      </c>
      <c r="G431">
        <v>0</v>
      </c>
      <c r="H431" t="s">
        <v>74</v>
      </c>
      <c r="I431" t="s">
        <v>175</v>
      </c>
      <c r="J431" t="s">
        <v>50</v>
      </c>
      <c r="K431" t="b">
        <v>1</v>
      </c>
      <c r="L431">
        <v>2010</v>
      </c>
      <c r="M431">
        <v>598851028906.57996</v>
      </c>
      <c r="N431">
        <v>15839344591.9842</v>
      </c>
      <c r="O431">
        <v>0</v>
      </c>
    </row>
    <row r="432" spans="1:15" x14ac:dyDescent="0.3">
      <c r="A432" s="1">
        <v>757</v>
      </c>
      <c r="B432" s="2">
        <v>40355</v>
      </c>
      <c r="C432" s="2">
        <f>_xlfn.FLOOR.MATH([1]!Table1[[#This Row],[year]],10)</f>
        <v>2010</v>
      </c>
      <c r="D432" t="s">
        <v>41</v>
      </c>
      <c r="E432" t="s">
        <v>63</v>
      </c>
      <c r="F432">
        <v>1</v>
      </c>
      <c r="G432">
        <v>2</v>
      </c>
      <c r="H432" t="s">
        <v>74</v>
      </c>
      <c r="I432" t="s">
        <v>178</v>
      </c>
      <c r="J432" t="s">
        <v>50</v>
      </c>
      <c r="K432" t="b">
        <v>1</v>
      </c>
      <c r="L432">
        <v>2010</v>
      </c>
      <c r="M432">
        <v>15048964444000</v>
      </c>
      <c r="N432">
        <v>32197655566.534698</v>
      </c>
      <c r="O432">
        <v>-1</v>
      </c>
    </row>
    <row r="433" spans="1:15" x14ac:dyDescent="0.3">
      <c r="A433" s="1">
        <v>758</v>
      </c>
      <c r="B433" s="2">
        <v>40356</v>
      </c>
      <c r="C433" s="2">
        <f>_xlfn.FLOOR.MATH([1]!Table1[[#This Row],[year]],10)</f>
        <v>2010</v>
      </c>
      <c r="D433" t="s">
        <v>19</v>
      </c>
      <c r="E433" t="s">
        <v>17</v>
      </c>
      <c r="F433">
        <v>3</v>
      </c>
      <c r="G433">
        <v>1</v>
      </c>
      <c r="H433" t="s">
        <v>74</v>
      </c>
      <c r="I433" t="s">
        <v>170</v>
      </c>
      <c r="J433" t="s">
        <v>50</v>
      </c>
      <c r="K433" t="b">
        <v>1</v>
      </c>
      <c r="L433">
        <v>2010</v>
      </c>
      <c r="M433">
        <v>423627422092.48999</v>
      </c>
      <c r="N433">
        <v>1105424238731.0901</v>
      </c>
      <c r="O433">
        <v>-1</v>
      </c>
    </row>
    <row r="434" spans="1:15" x14ac:dyDescent="0.3">
      <c r="A434" s="1">
        <v>759</v>
      </c>
      <c r="B434" s="2">
        <v>40356</v>
      </c>
      <c r="C434" s="2">
        <f>_xlfn.FLOOR.MATH([1]!Table1[[#This Row],[year]],10)</f>
        <v>2010</v>
      </c>
      <c r="D434" t="s">
        <v>16</v>
      </c>
      <c r="E434" t="s">
        <v>207</v>
      </c>
      <c r="F434">
        <v>4</v>
      </c>
      <c r="G434">
        <v>1</v>
      </c>
      <c r="H434" t="s">
        <v>74</v>
      </c>
      <c r="I434" t="s">
        <v>175</v>
      </c>
      <c r="J434" t="s">
        <v>50</v>
      </c>
      <c r="K434" t="b">
        <v>1</v>
      </c>
      <c r="L434">
        <v>2010</v>
      </c>
      <c r="M434">
        <v>3467093769666.6699</v>
      </c>
      <c r="N434">
        <v>2496740681057.1401</v>
      </c>
      <c r="O434">
        <v>1</v>
      </c>
    </row>
    <row r="435" spans="1:15" x14ac:dyDescent="0.3">
      <c r="A435" s="1">
        <v>760</v>
      </c>
      <c r="B435" s="2">
        <v>40357</v>
      </c>
      <c r="C435" s="2">
        <f>_xlfn.FLOOR.MATH([1]!Table1[[#This Row],[year]],10)</f>
        <v>2010</v>
      </c>
      <c r="D435" t="s">
        <v>13</v>
      </c>
      <c r="E435" t="s">
        <v>14</v>
      </c>
      <c r="F435">
        <v>3</v>
      </c>
      <c r="G435">
        <v>0</v>
      </c>
      <c r="H435" t="s">
        <v>74</v>
      </c>
      <c r="I435" t="s">
        <v>170</v>
      </c>
      <c r="J435" t="s">
        <v>50</v>
      </c>
      <c r="K435" t="b">
        <v>1</v>
      </c>
      <c r="L435">
        <v>2010</v>
      </c>
      <c r="M435">
        <v>2208838108484.3501</v>
      </c>
      <c r="N435">
        <v>217051209238.534</v>
      </c>
      <c r="O435">
        <v>1</v>
      </c>
    </row>
    <row r="436" spans="1:15" x14ac:dyDescent="0.3">
      <c r="A436" s="1">
        <v>762</v>
      </c>
      <c r="B436" s="2">
        <v>40358</v>
      </c>
      <c r="C436" s="2">
        <f>_xlfn.FLOOR.MATH([1]!Table1[[#This Row],[year]],10)</f>
        <v>2010</v>
      </c>
      <c r="D436" t="s">
        <v>35</v>
      </c>
      <c r="E436" t="s">
        <v>51</v>
      </c>
      <c r="F436">
        <v>0</v>
      </c>
      <c r="G436">
        <v>0</v>
      </c>
      <c r="H436" t="s">
        <v>74</v>
      </c>
      <c r="I436" t="s">
        <v>174</v>
      </c>
      <c r="J436" t="s">
        <v>50</v>
      </c>
      <c r="K436" t="b">
        <v>1</v>
      </c>
      <c r="L436">
        <v>2010</v>
      </c>
      <c r="M436">
        <v>27260886405.2341</v>
      </c>
      <c r="N436">
        <v>5759071769013.1104</v>
      </c>
      <c r="O436">
        <v>0</v>
      </c>
    </row>
    <row r="437" spans="1:15" x14ac:dyDescent="0.3">
      <c r="A437" s="1">
        <v>763</v>
      </c>
      <c r="B437" s="2">
        <v>40358</v>
      </c>
      <c r="C437" s="2">
        <f>_xlfn.FLOOR.MATH([1]!Table1[[#This Row],[year]],10)</f>
        <v>2010</v>
      </c>
      <c r="D437" t="s">
        <v>21</v>
      </c>
      <c r="E437" t="s">
        <v>38</v>
      </c>
      <c r="F437">
        <v>1</v>
      </c>
      <c r="G437">
        <v>0</v>
      </c>
      <c r="H437" t="s">
        <v>74</v>
      </c>
      <c r="I437" t="s">
        <v>171</v>
      </c>
      <c r="J437" t="s">
        <v>50</v>
      </c>
      <c r="K437" t="b">
        <v>1</v>
      </c>
      <c r="L437">
        <v>2010</v>
      </c>
      <c r="M437">
        <v>1427989078916.6699</v>
      </c>
      <c r="N437">
        <v>238443864993.21701</v>
      </c>
      <c r="O437">
        <v>1</v>
      </c>
    </row>
    <row r="438" spans="1:15" x14ac:dyDescent="0.3">
      <c r="A438" s="1">
        <v>764</v>
      </c>
      <c r="B438" s="2">
        <v>40361</v>
      </c>
      <c r="C438" s="2">
        <f>_xlfn.FLOOR.MATH([1]!Table1[[#This Row],[year]],10)</f>
        <v>2010</v>
      </c>
      <c r="D438" t="s">
        <v>27</v>
      </c>
      <c r="E438" t="s">
        <v>13</v>
      </c>
      <c r="F438">
        <v>2</v>
      </c>
      <c r="G438">
        <v>1</v>
      </c>
      <c r="H438" t="s">
        <v>74</v>
      </c>
      <c r="I438" t="s">
        <v>177</v>
      </c>
      <c r="J438" t="s">
        <v>50</v>
      </c>
      <c r="K438" t="b">
        <v>1</v>
      </c>
      <c r="L438">
        <v>2010</v>
      </c>
      <c r="M438">
        <v>852464982433.33496</v>
      </c>
      <c r="N438">
        <v>2208838108484.3501</v>
      </c>
      <c r="O438">
        <v>-1</v>
      </c>
    </row>
    <row r="439" spans="1:15" x14ac:dyDescent="0.3">
      <c r="A439" s="1">
        <v>765</v>
      </c>
      <c r="B439" s="2">
        <v>40361</v>
      </c>
      <c r="C439" s="2">
        <f>_xlfn.FLOOR.MATH([1]!Table1[[#This Row],[year]],10)</f>
        <v>2010</v>
      </c>
      <c r="D439" t="s">
        <v>26</v>
      </c>
      <c r="E439" t="s">
        <v>63</v>
      </c>
      <c r="F439">
        <v>1</v>
      </c>
      <c r="G439">
        <v>1</v>
      </c>
      <c r="H439" t="s">
        <v>74</v>
      </c>
      <c r="I439" t="s">
        <v>170</v>
      </c>
      <c r="J439" t="s">
        <v>50</v>
      </c>
      <c r="K439" t="b">
        <v>1</v>
      </c>
      <c r="L439">
        <v>2010</v>
      </c>
      <c r="M439">
        <v>41950361211.958099</v>
      </c>
      <c r="N439">
        <v>32197655566.534698</v>
      </c>
      <c r="O439">
        <v>0</v>
      </c>
    </row>
    <row r="440" spans="1:15" x14ac:dyDescent="0.3">
      <c r="A440" s="1">
        <v>766</v>
      </c>
      <c r="B440" s="2">
        <v>40362</v>
      </c>
      <c r="C440" s="2">
        <f>_xlfn.FLOOR.MATH([1]!Table1[[#This Row],[year]],10)</f>
        <v>2010</v>
      </c>
      <c r="D440" t="s">
        <v>19</v>
      </c>
      <c r="E440" t="s">
        <v>16</v>
      </c>
      <c r="F440">
        <v>0</v>
      </c>
      <c r="G440">
        <v>4</v>
      </c>
      <c r="H440" t="s">
        <v>74</v>
      </c>
      <c r="I440" t="s">
        <v>171</v>
      </c>
      <c r="J440" t="s">
        <v>50</v>
      </c>
      <c r="K440" t="b">
        <v>1</v>
      </c>
      <c r="L440">
        <v>2010</v>
      </c>
      <c r="M440">
        <v>423627422092.48999</v>
      </c>
      <c r="N440">
        <v>3467093769666.6699</v>
      </c>
      <c r="O440">
        <v>1</v>
      </c>
    </row>
    <row r="441" spans="1:15" x14ac:dyDescent="0.3">
      <c r="A441" s="1">
        <v>767</v>
      </c>
      <c r="B441" s="2">
        <v>40362</v>
      </c>
      <c r="C441" s="2">
        <f>_xlfn.FLOOR.MATH([1]!Table1[[#This Row],[year]],10)</f>
        <v>2010</v>
      </c>
      <c r="D441" t="s">
        <v>35</v>
      </c>
      <c r="E441" t="s">
        <v>21</v>
      </c>
      <c r="F441">
        <v>0</v>
      </c>
      <c r="G441">
        <v>1</v>
      </c>
      <c r="H441" t="s">
        <v>74</v>
      </c>
      <c r="I441" t="s">
        <v>170</v>
      </c>
      <c r="J441" t="s">
        <v>50</v>
      </c>
      <c r="K441" t="b">
        <v>1</v>
      </c>
      <c r="L441">
        <v>2010</v>
      </c>
      <c r="M441">
        <v>27260886405.2341</v>
      </c>
      <c r="N441">
        <v>1427989078916.6699</v>
      </c>
      <c r="O441">
        <v>1</v>
      </c>
    </row>
    <row r="442" spans="1:15" x14ac:dyDescent="0.3">
      <c r="A442" s="1">
        <v>768</v>
      </c>
      <c r="B442" s="2">
        <v>40365</v>
      </c>
      <c r="C442" s="2">
        <f>_xlfn.FLOOR.MATH([1]!Table1[[#This Row],[year]],10)</f>
        <v>2010</v>
      </c>
      <c r="D442" t="s">
        <v>26</v>
      </c>
      <c r="E442" t="s">
        <v>27</v>
      </c>
      <c r="F442">
        <v>2</v>
      </c>
      <c r="G442">
        <v>3</v>
      </c>
      <c r="H442" t="s">
        <v>74</v>
      </c>
      <c r="I442" t="s">
        <v>171</v>
      </c>
      <c r="J442" t="s">
        <v>50</v>
      </c>
      <c r="K442" t="b">
        <v>1</v>
      </c>
      <c r="L442">
        <v>2010</v>
      </c>
      <c r="M442">
        <v>41950361211.958099</v>
      </c>
      <c r="N442">
        <v>852464982433.33496</v>
      </c>
      <c r="O442">
        <v>1</v>
      </c>
    </row>
    <row r="443" spans="1:15" x14ac:dyDescent="0.3">
      <c r="A443" s="1">
        <v>769</v>
      </c>
      <c r="B443" s="2">
        <v>40366</v>
      </c>
      <c r="C443" s="2">
        <f>_xlfn.FLOOR.MATH([1]!Table1[[#This Row],[year]],10)</f>
        <v>2010</v>
      </c>
      <c r="D443" t="s">
        <v>16</v>
      </c>
      <c r="E443" t="s">
        <v>21</v>
      </c>
      <c r="F443">
        <v>0</v>
      </c>
      <c r="G443">
        <v>1</v>
      </c>
      <c r="H443" t="s">
        <v>74</v>
      </c>
      <c r="I443" t="s">
        <v>173</v>
      </c>
      <c r="J443" t="s">
        <v>50</v>
      </c>
      <c r="K443" t="b">
        <v>1</v>
      </c>
      <c r="L443">
        <v>2010</v>
      </c>
      <c r="M443">
        <v>3467093769666.6699</v>
      </c>
      <c r="N443">
        <v>1427989078916.6699</v>
      </c>
      <c r="O443">
        <v>-1</v>
      </c>
    </row>
    <row r="444" spans="1:15" x14ac:dyDescent="0.3">
      <c r="A444" s="1">
        <v>770</v>
      </c>
      <c r="B444" s="2">
        <v>40369</v>
      </c>
      <c r="C444" s="2">
        <f>_xlfn.FLOOR.MATH([1]!Table1[[#This Row],[year]],10)</f>
        <v>2010</v>
      </c>
      <c r="D444" t="s">
        <v>26</v>
      </c>
      <c r="E444" t="s">
        <v>16</v>
      </c>
      <c r="F444">
        <v>2</v>
      </c>
      <c r="G444">
        <v>3</v>
      </c>
      <c r="H444" t="s">
        <v>74</v>
      </c>
      <c r="I444" t="s">
        <v>177</v>
      </c>
      <c r="J444" t="s">
        <v>50</v>
      </c>
      <c r="K444" t="b">
        <v>1</v>
      </c>
      <c r="L444">
        <v>2010</v>
      </c>
      <c r="M444">
        <v>41950361211.958099</v>
      </c>
      <c r="N444">
        <v>3467093769666.6699</v>
      </c>
      <c r="O444">
        <v>1</v>
      </c>
    </row>
    <row r="445" spans="1:15" x14ac:dyDescent="0.3">
      <c r="A445" s="1">
        <v>771</v>
      </c>
      <c r="B445" s="2">
        <v>40370</v>
      </c>
      <c r="C445" s="2">
        <f>_xlfn.FLOOR.MATH([1]!Table1[[#This Row],[year]],10)</f>
        <v>2010</v>
      </c>
      <c r="D445" t="s">
        <v>27</v>
      </c>
      <c r="E445" t="s">
        <v>21</v>
      </c>
      <c r="F445">
        <v>0</v>
      </c>
      <c r="G445">
        <v>1</v>
      </c>
      <c r="H445" t="s">
        <v>74</v>
      </c>
      <c r="I445" t="s">
        <v>170</v>
      </c>
      <c r="J445" t="s">
        <v>50</v>
      </c>
      <c r="K445" t="b">
        <v>1</v>
      </c>
      <c r="L445">
        <v>2010</v>
      </c>
      <c r="M445">
        <v>852464982433.33496</v>
      </c>
      <c r="N445">
        <v>1427989078916.6699</v>
      </c>
      <c r="O445">
        <v>1</v>
      </c>
    </row>
    <row r="446" spans="1:15" x14ac:dyDescent="0.3">
      <c r="A446" s="1">
        <v>772</v>
      </c>
      <c r="B446" s="2">
        <v>41802</v>
      </c>
      <c r="C446" s="2">
        <f>_xlfn.FLOOR.MATH([1]!Table1[[#This Row],[year]],10)</f>
        <v>2010</v>
      </c>
      <c r="D446" t="s">
        <v>13</v>
      </c>
      <c r="E446" t="s">
        <v>52</v>
      </c>
      <c r="F446">
        <v>3</v>
      </c>
      <c r="G446">
        <v>1</v>
      </c>
      <c r="H446" t="s">
        <v>74</v>
      </c>
      <c r="I446" t="s">
        <v>179</v>
      </c>
      <c r="J446" t="s">
        <v>13</v>
      </c>
      <c r="K446" t="b">
        <v>0</v>
      </c>
      <c r="L446">
        <v>2014</v>
      </c>
      <c r="M446">
        <v>2456043766032.3799</v>
      </c>
      <c r="N446">
        <v>59606934500.995697</v>
      </c>
      <c r="O446">
        <v>1</v>
      </c>
    </row>
    <row r="447" spans="1:15" x14ac:dyDescent="0.3">
      <c r="A447" s="1">
        <v>773</v>
      </c>
      <c r="B447" s="2">
        <v>41803</v>
      </c>
      <c r="C447" s="2">
        <f>_xlfn.FLOOR.MATH([1]!Table1[[#This Row],[year]],10)</f>
        <v>2010</v>
      </c>
      <c r="D447" t="s">
        <v>14</v>
      </c>
      <c r="E447" t="s">
        <v>28</v>
      </c>
      <c r="F447">
        <v>3</v>
      </c>
      <c r="G447">
        <v>1</v>
      </c>
      <c r="H447" t="s">
        <v>74</v>
      </c>
      <c r="I447" t="s">
        <v>180</v>
      </c>
      <c r="J447" t="s">
        <v>13</v>
      </c>
      <c r="K447" t="b">
        <v>1</v>
      </c>
      <c r="L447">
        <v>2014</v>
      </c>
      <c r="M447">
        <v>259560978224.35901</v>
      </c>
      <c r="N447">
        <v>1474677007565.6399</v>
      </c>
      <c r="O447">
        <v>-1</v>
      </c>
    </row>
    <row r="448" spans="1:15" x14ac:dyDescent="0.3">
      <c r="A448" s="1">
        <v>774</v>
      </c>
      <c r="B448" s="2">
        <v>41803</v>
      </c>
      <c r="C448" s="2">
        <f>_xlfn.FLOOR.MATH([1]!Table1[[#This Row],[year]],10)</f>
        <v>2010</v>
      </c>
      <c r="D448" t="s">
        <v>17</v>
      </c>
      <c r="E448" t="s">
        <v>40</v>
      </c>
      <c r="F448">
        <v>1</v>
      </c>
      <c r="G448">
        <v>0</v>
      </c>
      <c r="H448" t="s">
        <v>74</v>
      </c>
      <c r="I448" t="s">
        <v>181</v>
      </c>
      <c r="J448" t="s">
        <v>13</v>
      </c>
      <c r="K448" t="b">
        <v>1</v>
      </c>
      <c r="L448">
        <v>2014</v>
      </c>
      <c r="M448">
        <v>1364507717614.1299</v>
      </c>
      <c r="N448">
        <v>36386544706.080597</v>
      </c>
      <c r="O448">
        <v>1</v>
      </c>
    </row>
    <row r="449" spans="1:15" x14ac:dyDescent="0.3">
      <c r="A449" s="1">
        <v>775</v>
      </c>
      <c r="B449" s="2">
        <v>41803</v>
      </c>
      <c r="C449" s="2">
        <f>_xlfn.FLOOR.MATH([1]!Table1[[#This Row],[year]],10)</f>
        <v>2010</v>
      </c>
      <c r="D449" t="s">
        <v>21</v>
      </c>
      <c r="E449" t="s">
        <v>27</v>
      </c>
      <c r="F449">
        <v>1</v>
      </c>
      <c r="G449">
        <v>5</v>
      </c>
      <c r="H449" t="s">
        <v>74</v>
      </c>
      <c r="I449" t="s">
        <v>182</v>
      </c>
      <c r="J449" t="s">
        <v>13</v>
      </c>
      <c r="K449" t="b">
        <v>1</v>
      </c>
      <c r="L449">
        <v>2014</v>
      </c>
      <c r="M449">
        <v>1380244561361.96</v>
      </c>
      <c r="N449">
        <v>901556501756.46704</v>
      </c>
      <c r="O449">
        <v>-1</v>
      </c>
    </row>
    <row r="450" spans="1:15" x14ac:dyDescent="0.3">
      <c r="A450" s="1">
        <v>776</v>
      </c>
      <c r="B450" s="2">
        <v>41804</v>
      </c>
      <c r="C450" s="2">
        <f>_xlfn.FLOOR.MATH([1]!Table1[[#This Row],[year]],10)</f>
        <v>2010</v>
      </c>
      <c r="D450" t="s">
        <v>15</v>
      </c>
      <c r="E450" t="s">
        <v>48</v>
      </c>
      <c r="F450">
        <v>3</v>
      </c>
      <c r="G450">
        <v>0</v>
      </c>
      <c r="H450" t="s">
        <v>74</v>
      </c>
      <c r="I450" t="s">
        <v>183</v>
      </c>
      <c r="J450" t="s">
        <v>13</v>
      </c>
      <c r="K450" t="b">
        <v>1</v>
      </c>
      <c r="L450">
        <v>2014</v>
      </c>
      <c r="M450">
        <v>381240864422.40698</v>
      </c>
      <c r="N450">
        <v>233911581521.06201</v>
      </c>
      <c r="O450">
        <v>1</v>
      </c>
    </row>
    <row r="451" spans="1:15" x14ac:dyDescent="0.3">
      <c r="A451" s="1">
        <v>777</v>
      </c>
      <c r="B451" s="2">
        <v>41804</v>
      </c>
      <c r="C451" s="2">
        <f>_xlfn.FLOOR.MATH([1]!Table1[[#This Row],[year]],10)</f>
        <v>2010</v>
      </c>
      <c r="D451" t="s">
        <v>207</v>
      </c>
      <c r="E451" t="s">
        <v>18</v>
      </c>
      <c r="F451">
        <v>1</v>
      </c>
      <c r="G451">
        <v>2</v>
      </c>
      <c r="H451" t="s">
        <v>74</v>
      </c>
      <c r="I451" t="s">
        <v>189</v>
      </c>
      <c r="J451" t="s">
        <v>13</v>
      </c>
      <c r="K451" t="b">
        <v>1</v>
      </c>
      <c r="L451">
        <v>2014</v>
      </c>
      <c r="M451">
        <v>3085362169410.29</v>
      </c>
      <c r="N451">
        <v>2173255507985.8401</v>
      </c>
      <c r="O451">
        <v>-1</v>
      </c>
    </row>
    <row r="452" spans="1:15" x14ac:dyDescent="0.3">
      <c r="A452" s="1">
        <v>779</v>
      </c>
      <c r="B452" s="2">
        <v>41804</v>
      </c>
      <c r="C452" s="2">
        <f>_xlfn.FLOOR.MATH([1]!Table1[[#This Row],[year]],10)</f>
        <v>2010</v>
      </c>
      <c r="D452" t="s">
        <v>26</v>
      </c>
      <c r="E452" t="s">
        <v>56</v>
      </c>
      <c r="F452">
        <v>1</v>
      </c>
      <c r="G452">
        <v>3</v>
      </c>
      <c r="H452" t="s">
        <v>74</v>
      </c>
      <c r="I452" t="s">
        <v>184</v>
      </c>
      <c r="J452" t="s">
        <v>13</v>
      </c>
      <c r="K452" t="b">
        <v>1</v>
      </c>
      <c r="L452">
        <v>2014</v>
      </c>
      <c r="M452">
        <v>61496186973.902</v>
      </c>
      <c r="N452">
        <v>52016408854.2658</v>
      </c>
      <c r="O452">
        <v>-1</v>
      </c>
    </row>
    <row r="453" spans="1:15" x14ac:dyDescent="0.3">
      <c r="A453" s="1">
        <v>780</v>
      </c>
      <c r="B453" s="2">
        <v>41805</v>
      </c>
      <c r="C453" s="2">
        <f>_xlfn.FLOOR.MATH([1]!Table1[[#This Row],[year]],10)</f>
        <v>2010</v>
      </c>
      <c r="D453" t="s">
        <v>19</v>
      </c>
      <c r="E453" t="s">
        <v>73</v>
      </c>
      <c r="F453">
        <v>2</v>
      </c>
      <c r="G453">
        <v>1</v>
      </c>
      <c r="H453" t="s">
        <v>74</v>
      </c>
      <c r="I453" t="s">
        <v>185</v>
      </c>
      <c r="J453" t="s">
        <v>13</v>
      </c>
      <c r="K453" t="b">
        <v>1</v>
      </c>
      <c r="L453">
        <v>2014</v>
      </c>
      <c r="M453">
        <v>526319673731.638</v>
      </c>
      <c r="N453">
        <v>18558734107.1478</v>
      </c>
      <c r="O453">
        <v>1</v>
      </c>
    </row>
    <row r="454" spans="1:15" x14ac:dyDescent="0.3">
      <c r="A454" s="1">
        <v>781</v>
      </c>
      <c r="B454" s="2">
        <v>41805</v>
      </c>
      <c r="C454" s="2">
        <f>_xlfn.FLOOR.MATH([1]!Table1[[#This Row],[year]],10)</f>
        <v>2010</v>
      </c>
      <c r="D454" t="s">
        <v>20</v>
      </c>
      <c r="E454" t="s">
        <v>65</v>
      </c>
      <c r="F454">
        <v>3</v>
      </c>
      <c r="G454">
        <v>0</v>
      </c>
      <c r="H454" t="s">
        <v>74</v>
      </c>
      <c r="I454" t="s">
        <v>186</v>
      </c>
      <c r="J454" t="s">
        <v>13</v>
      </c>
      <c r="K454" t="b">
        <v>1</v>
      </c>
      <c r="L454">
        <v>2014</v>
      </c>
      <c r="M454">
        <v>2861236112552.4199</v>
      </c>
      <c r="N454">
        <v>19756533971.869801</v>
      </c>
      <c r="O454">
        <v>1</v>
      </c>
    </row>
    <row r="455" spans="1:15" x14ac:dyDescent="0.3">
      <c r="A455" s="1">
        <v>782</v>
      </c>
      <c r="B455" s="2">
        <v>41805</v>
      </c>
      <c r="C455" s="2">
        <f>_xlfn.FLOOR.MATH([1]!Table1[[#This Row],[year]],10)</f>
        <v>2010</v>
      </c>
      <c r="D455" t="s">
        <v>46</v>
      </c>
      <c r="E455" t="s">
        <v>57</v>
      </c>
      <c r="F455">
        <v>2</v>
      </c>
      <c r="G455">
        <v>1</v>
      </c>
      <c r="H455" t="s">
        <v>74</v>
      </c>
      <c r="I455" t="s">
        <v>187</v>
      </c>
      <c r="J455" t="s">
        <v>13</v>
      </c>
      <c r="K455" t="b">
        <v>1</v>
      </c>
      <c r="L455">
        <v>2014</v>
      </c>
      <c r="M455">
        <v>726537808338</v>
      </c>
      <c r="N455">
        <v>102717794000</v>
      </c>
      <c r="O455">
        <v>1</v>
      </c>
    </row>
    <row r="456" spans="1:15" x14ac:dyDescent="0.3">
      <c r="A456" s="1">
        <v>783</v>
      </c>
      <c r="B456" s="2">
        <v>41806</v>
      </c>
      <c r="C456" s="2">
        <f>_xlfn.FLOOR.MATH([1]!Table1[[#This Row],[year]],10)</f>
        <v>2010</v>
      </c>
      <c r="D456" t="s">
        <v>16</v>
      </c>
      <c r="E456" t="s">
        <v>38</v>
      </c>
      <c r="F456">
        <v>4</v>
      </c>
      <c r="G456">
        <v>0</v>
      </c>
      <c r="H456" t="s">
        <v>74</v>
      </c>
      <c r="I456" t="s">
        <v>182</v>
      </c>
      <c r="J456" t="s">
        <v>13</v>
      </c>
      <c r="K456" t="b">
        <v>1</v>
      </c>
      <c r="L456">
        <v>2014</v>
      </c>
      <c r="M456">
        <v>3964870735760.77</v>
      </c>
      <c r="N456">
        <v>230078616299.67499</v>
      </c>
      <c r="O456">
        <v>1</v>
      </c>
    </row>
    <row r="457" spans="1:15" x14ac:dyDescent="0.3">
      <c r="A457" s="1">
        <v>784</v>
      </c>
      <c r="B457" s="2">
        <v>41806</v>
      </c>
      <c r="C457" s="2">
        <f>_xlfn.FLOOR.MATH([1]!Table1[[#This Row],[year]],10)</f>
        <v>2010</v>
      </c>
      <c r="D457" t="s">
        <v>63</v>
      </c>
      <c r="E457" t="s">
        <v>41</v>
      </c>
      <c r="F457">
        <v>1</v>
      </c>
      <c r="G457">
        <v>2</v>
      </c>
      <c r="H457" t="s">
        <v>74</v>
      </c>
      <c r="I457" t="s">
        <v>181</v>
      </c>
      <c r="J457" t="s">
        <v>13</v>
      </c>
      <c r="K457" t="b">
        <v>1</v>
      </c>
      <c r="L457">
        <v>2014</v>
      </c>
      <c r="M457">
        <v>54678533805.906403</v>
      </c>
      <c r="N457">
        <v>17550680174000</v>
      </c>
      <c r="O457">
        <v>1</v>
      </c>
    </row>
    <row r="458" spans="1:15" x14ac:dyDescent="0.3">
      <c r="A458" s="1">
        <v>785</v>
      </c>
      <c r="B458" s="2">
        <v>41806</v>
      </c>
      <c r="C458" s="2">
        <f>_xlfn.FLOOR.MATH([1]!Table1[[#This Row],[year]],10)</f>
        <v>2010</v>
      </c>
      <c r="D458" t="s">
        <v>225</v>
      </c>
      <c r="E458" t="s">
        <v>43</v>
      </c>
      <c r="F458">
        <v>0</v>
      </c>
      <c r="G458">
        <v>0</v>
      </c>
      <c r="H458" t="s">
        <v>74</v>
      </c>
      <c r="I458" t="s">
        <v>188</v>
      </c>
      <c r="J458" t="s">
        <v>13</v>
      </c>
      <c r="K458" t="b">
        <v>1</v>
      </c>
      <c r="L458">
        <v>2014</v>
      </c>
      <c r="M458">
        <v>462284793280.82501</v>
      </c>
      <c r="N458">
        <v>574183763411.50806</v>
      </c>
      <c r="O458">
        <v>0</v>
      </c>
    </row>
    <row r="459" spans="1:15" x14ac:dyDescent="0.3">
      <c r="A459" s="1">
        <v>786</v>
      </c>
      <c r="B459" s="2">
        <v>41807</v>
      </c>
      <c r="C459" s="2">
        <f>_xlfn.FLOOR.MATH([1]!Table1[[#This Row],[year]],10)</f>
        <v>2010</v>
      </c>
      <c r="D459" t="s">
        <v>23</v>
      </c>
      <c r="E459" t="s">
        <v>32</v>
      </c>
      <c r="F459">
        <v>2</v>
      </c>
      <c r="G459">
        <v>1</v>
      </c>
      <c r="H459" t="s">
        <v>74</v>
      </c>
      <c r="I459" t="s">
        <v>183</v>
      </c>
      <c r="J459" t="s">
        <v>13</v>
      </c>
      <c r="K459" t="b">
        <v>1</v>
      </c>
      <c r="L459">
        <v>2014</v>
      </c>
      <c r="M459">
        <v>537987419164.35101</v>
      </c>
      <c r="N459">
        <v>238942664192.59</v>
      </c>
      <c r="O459">
        <v>1</v>
      </c>
    </row>
    <row r="460" spans="1:15" x14ac:dyDescent="0.3">
      <c r="A460" s="1">
        <v>787</v>
      </c>
      <c r="B460" s="2">
        <v>41807</v>
      </c>
      <c r="C460" s="2">
        <f>_xlfn.FLOOR.MATH([1]!Table1[[#This Row],[year]],10)</f>
        <v>2010</v>
      </c>
      <c r="D460" t="s">
        <v>13</v>
      </c>
      <c r="E460" t="s">
        <v>17</v>
      </c>
      <c r="F460">
        <v>0</v>
      </c>
      <c r="G460">
        <v>0</v>
      </c>
      <c r="H460" t="s">
        <v>74</v>
      </c>
      <c r="I460" t="s">
        <v>184</v>
      </c>
      <c r="J460" t="s">
        <v>13</v>
      </c>
      <c r="K460" t="b">
        <v>0</v>
      </c>
      <c r="L460">
        <v>2014</v>
      </c>
      <c r="M460">
        <v>2456043766032.3799</v>
      </c>
      <c r="N460">
        <v>1364507717614.1299</v>
      </c>
      <c r="O460">
        <v>0</v>
      </c>
    </row>
    <row r="461" spans="1:15" x14ac:dyDescent="0.3">
      <c r="A461" s="1">
        <v>789</v>
      </c>
      <c r="B461" s="2">
        <v>41808</v>
      </c>
      <c r="C461" s="2">
        <f>_xlfn.FLOOR.MATH([1]!Table1[[#This Row],[year]],10)</f>
        <v>2010</v>
      </c>
      <c r="D461" t="s">
        <v>28</v>
      </c>
      <c r="E461" t="s">
        <v>27</v>
      </c>
      <c r="F461">
        <v>2</v>
      </c>
      <c r="G461">
        <v>3</v>
      </c>
      <c r="H461" t="s">
        <v>74</v>
      </c>
      <c r="I461" t="s">
        <v>188</v>
      </c>
      <c r="J461" t="s">
        <v>13</v>
      </c>
      <c r="K461" t="b">
        <v>1</v>
      </c>
      <c r="L461">
        <v>2014</v>
      </c>
      <c r="M461">
        <v>1474677007565.6399</v>
      </c>
      <c r="N461">
        <v>901556501756.46704</v>
      </c>
      <c r="O461">
        <v>-1</v>
      </c>
    </row>
    <row r="462" spans="1:15" x14ac:dyDescent="0.3">
      <c r="A462" s="1">
        <v>790</v>
      </c>
      <c r="B462" s="2">
        <v>41808</v>
      </c>
      <c r="C462" s="2">
        <f>_xlfn.FLOOR.MATH([1]!Table1[[#This Row],[year]],10)</f>
        <v>2010</v>
      </c>
      <c r="D462" t="s">
        <v>40</v>
      </c>
      <c r="E462" t="s">
        <v>52</v>
      </c>
      <c r="F462">
        <v>0</v>
      </c>
      <c r="G462">
        <v>4</v>
      </c>
      <c r="H462" t="s">
        <v>74</v>
      </c>
      <c r="I462" t="s">
        <v>189</v>
      </c>
      <c r="J462" t="s">
        <v>13</v>
      </c>
      <c r="K462" t="b">
        <v>1</v>
      </c>
      <c r="L462">
        <v>2014</v>
      </c>
      <c r="M462">
        <v>36386544706.080597</v>
      </c>
      <c r="N462">
        <v>59606934500.995697</v>
      </c>
      <c r="O462">
        <v>1</v>
      </c>
    </row>
    <row r="463" spans="1:15" x14ac:dyDescent="0.3">
      <c r="A463" s="1">
        <v>791</v>
      </c>
      <c r="B463" s="2">
        <v>41808</v>
      </c>
      <c r="C463" s="2">
        <f>_xlfn.FLOOR.MATH([1]!Table1[[#This Row],[year]],10)</f>
        <v>2010</v>
      </c>
      <c r="D463" t="s">
        <v>21</v>
      </c>
      <c r="E463" t="s">
        <v>14</v>
      </c>
      <c r="F463">
        <v>0</v>
      </c>
      <c r="G463">
        <v>2</v>
      </c>
      <c r="H463" t="s">
        <v>74</v>
      </c>
      <c r="I463" t="s">
        <v>185</v>
      </c>
      <c r="J463" t="s">
        <v>13</v>
      </c>
      <c r="K463" t="b">
        <v>1</v>
      </c>
      <c r="L463">
        <v>2014</v>
      </c>
      <c r="M463">
        <v>1380244561361.96</v>
      </c>
      <c r="N463">
        <v>259560978224.35901</v>
      </c>
      <c r="O463">
        <v>-1</v>
      </c>
    </row>
    <row r="464" spans="1:15" x14ac:dyDescent="0.3">
      <c r="A464" s="1">
        <v>793</v>
      </c>
      <c r="B464" s="2">
        <v>41809</v>
      </c>
      <c r="C464" s="2">
        <f>_xlfn.FLOOR.MATH([1]!Table1[[#This Row],[year]],10)</f>
        <v>2010</v>
      </c>
      <c r="D464" t="s">
        <v>51</v>
      </c>
      <c r="E464" t="s">
        <v>48</v>
      </c>
      <c r="F464">
        <v>0</v>
      </c>
      <c r="G464">
        <v>0</v>
      </c>
      <c r="H464" t="s">
        <v>74</v>
      </c>
      <c r="I464" t="s">
        <v>181</v>
      </c>
      <c r="J464" t="s">
        <v>13</v>
      </c>
      <c r="K464" t="b">
        <v>1</v>
      </c>
      <c r="L464">
        <v>2014</v>
      </c>
      <c r="M464">
        <v>4896994405353.29</v>
      </c>
      <c r="N464">
        <v>233911581521.06201</v>
      </c>
      <c r="O464">
        <v>0</v>
      </c>
    </row>
    <row r="465" spans="1:15" x14ac:dyDescent="0.3">
      <c r="A465" s="1">
        <v>794</v>
      </c>
      <c r="B465" s="2">
        <v>41809</v>
      </c>
      <c r="C465" s="2">
        <f>_xlfn.FLOOR.MATH([1]!Table1[[#This Row],[year]],10)</f>
        <v>2010</v>
      </c>
      <c r="D465" t="s">
        <v>26</v>
      </c>
      <c r="E465" t="s">
        <v>207</v>
      </c>
      <c r="F465">
        <v>2</v>
      </c>
      <c r="G465">
        <v>1</v>
      </c>
      <c r="H465" t="s">
        <v>74</v>
      </c>
      <c r="I465" t="s">
        <v>179</v>
      </c>
      <c r="J465" t="s">
        <v>13</v>
      </c>
      <c r="K465" t="b">
        <v>1</v>
      </c>
      <c r="L465">
        <v>2014</v>
      </c>
      <c r="M465">
        <v>61496186973.902</v>
      </c>
      <c r="N465">
        <v>3085362169410.29</v>
      </c>
      <c r="O465">
        <v>-1</v>
      </c>
    </row>
    <row r="466" spans="1:15" x14ac:dyDescent="0.3">
      <c r="A466" s="1">
        <v>795</v>
      </c>
      <c r="B466" s="2">
        <v>41810</v>
      </c>
      <c r="C466" s="2">
        <f>_xlfn.FLOOR.MATH([1]!Table1[[#This Row],[year]],10)</f>
        <v>2010</v>
      </c>
      <c r="D466" t="s">
        <v>65</v>
      </c>
      <c r="E466" t="s">
        <v>57</v>
      </c>
      <c r="F466">
        <v>1</v>
      </c>
      <c r="G466">
        <v>2</v>
      </c>
      <c r="H466" t="s">
        <v>74</v>
      </c>
      <c r="I466" t="s">
        <v>188</v>
      </c>
      <c r="J466" t="s">
        <v>13</v>
      </c>
      <c r="K466" t="b">
        <v>1</v>
      </c>
      <c r="L466">
        <v>2014</v>
      </c>
      <c r="M466">
        <v>19756533971.869801</v>
      </c>
      <c r="N466">
        <v>102717794000</v>
      </c>
      <c r="O466">
        <v>1</v>
      </c>
    </row>
    <row r="467" spans="1:15" x14ac:dyDescent="0.3">
      <c r="A467" s="1">
        <v>796</v>
      </c>
      <c r="B467" s="2">
        <v>41810</v>
      </c>
      <c r="C467" s="2">
        <f>_xlfn.FLOOR.MATH([1]!Table1[[#This Row],[year]],10)</f>
        <v>2010</v>
      </c>
      <c r="D467" t="s">
        <v>18</v>
      </c>
      <c r="E467" t="s">
        <v>56</v>
      </c>
      <c r="F467">
        <v>0</v>
      </c>
      <c r="G467">
        <v>1</v>
      </c>
      <c r="H467" t="s">
        <v>74</v>
      </c>
      <c r="I467" t="s">
        <v>190</v>
      </c>
      <c r="J467" t="s">
        <v>13</v>
      </c>
      <c r="K467" t="b">
        <v>1</v>
      </c>
      <c r="L467">
        <v>2014</v>
      </c>
      <c r="M467">
        <v>2173255507985.8401</v>
      </c>
      <c r="N467">
        <v>52016408854.2658</v>
      </c>
      <c r="O467">
        <v>-1</v>
      </c>
    </row>
    <row r="468" spans="1:15" x14ac:dyDescent="0.3">
      <c r="A468" s="1">
        <v>797</v>
      </c>
      <c r="B468" s="2">
        <v>41810</v>
      </c>
      <c r="C468" s="2">
        <f>_xlfn.FLOOR.MATH([1]!Table1[[#This Row],[year]],10)</f>
        <v>2010</v>
      </c>
      <c r="D468" t="s">
        <v>46</v>
      </c>
      <c r="E468" t="s">
        <v>20</v>
      </c>
      <c r="F468">
        <v>2</v>
      </c>
      <c r="G468">
        <v>5</v>
      </c>
      <c r="H468" t="s">
        <v>74</v>
      </c>
      <c r="I468" t="s">
        <v>182</v>
      </c>
      <c r="J468" t="s">
        <v>13</v>
      </c>
      <c r="K468" t="b">
        <v>1</v>
      </c>
      <c r="L468">
        <v>2014</v>
      </c>
      <c r="M468">
        <v>726537808338</v>
      </c>
      <c r="N468">
        <v>2861236112552.4199</v>
      </c>
      <c r="O468">
        <v>1</v>
      </c>
    </row>
    <row r="469" spans="1:15" x14ac:dyDescent="0.3">
      <c r="A469" s="1">
        <v>798</v>
      </c>
      <c r="B469" s="2">
        <v>41811</v>
      </c>
      <c r="C469" s="2">
        <f>_xlfn.FLOOR.MATH([1]!Table1[[#This Row],[year]],10)</f>
        <v>2010</v>
      </c>
      <c r="D469" t="s">
        <v>19</v>
      </c>
      <c r="E469" t="s">
        <v>225</v>
      </c>
      <c r="F469">
        <v>1</v>
      </c>
      <c r="G469">
        <v>0</v>
      </c>
      <c r="H469" t="s">
        <v>74</v>
      </c>
      <c r="I469" t="s">
        <v>183</v>
      </c>
      <c r="J469" t="s">
        <v>13</v>
      </c>
      <c r="K469" t="b">
        <v>1</v>
      </c>
      <c r="L469">
        <v>2014</v>
      </c>
      <c r="M469">
        <v>526319673731.638</v>
      </c>
      <c r="N469">
        <v>462284793280.82501</v>
      </c>
      <c r="O469">
        <v>1</v>
      </c>
    </row>
    <row r="470" spans="1:15" x14ac:dyDescent="0.3">
      <c r="A470" s="1">
        <v>799</v>
      </c>
      <c r="B470" s="2">
        <v>41811</v>
      </c>
      <c r="C470" s="2">
        <f>_xlfn.FLOOR.MATH([1]!Table1[[#This Row],[year]],10)</f>
        <v>2010</v>
      </c>
      <c r="D470" t="s">
        <v>16</v>
      </c>
      <c r="E470" t="s">
        <v>63</v>
      </c>
      <c r="F470">
        <v>2</v>
      </c>
      <c r="G470">
        <v>2</v>
      </c>
      <c r="H470" t="s">
        <v>74</v>
      </c>
      <c r="I470" t="s">
        <v>184</v>
      </c>
      <c r="J470" t="s">
        <v>13</v>
      </c>
      <c r="K470" t="b">
        <v>1</v>
      </c>
      <c r="L470">
        <v>2014</v>
      </c>
      <c r="M470">
        <v>3964870735760.77</v>
      </c>
      <c r="N470">
        <v>54678533805.906403</v>
      </c>
      <c r="O470">
        <v>0</v>
      </c>
    </row>
    <row r="471" spans="1:15" x14ac:dyDescent="0.3">
      <c r="A471" s="1">
        <v>800</v>
      </c>
      <c r="B471" s="2">
        <v>41811</v>
      </c>
      <c r="C471" s="2">
        <f>_xlfn.FLOOR.MATH([1]!Table1[[#This Row],[year]],10)</f>
        <v>2010</v>
      </c>
      <c r="D471" t="s">
        <v>43</v>
      </c>
      <c r="E471" t="s">
        <v>73</v>
      </c>
      <c r="F471">
        <v>1</v>
      </c>
      <c r="G471">
        <v>0</v>
      </c>
      <c r="H471" t="s">
        <v>74</v>
      </c>
      <c r="I471" t="s">
        <v>180</v>
      </c>
      <c r="J471" t="s">
        <v>13</v>
      </c>
      <c r="K471" t="b">
        <v>1</v>
      </c>
      <c r="L471">
        <v>2014</v>
      </c>
      <c r="M471">
        <v>574183763411.50806</v>
      </c>
      <c r="N471">
        <v>18558734107.1478</v>
      </c>
      <c r="O471">
        <v>1</v>
      </c>
    </row>
    <row r="472" spans="1:15" x14ac:dyDescent="0.3">
      <c r="A472" s="1">
        <v>803</v>
      </c>
      <c r="B472" s="2">
        <v>41812</v>
      </c>
      <c r="C472" s="2">
        <f>_xlfn.FLOOR.MATH([1]!Table1[[#This Row],[year]],10)</f>
        <v>2010</v>
      </c>
      <c r="D472" t="s">
        <v>41</v>
      </c>
      <c r="E472" t="s">
        <v>38</v>
      </c>
      <c r="F472">
        <v>2</v>
      </c>
      <c r="G472">
        <v>2</v>
      </c>
      <c r="H472" t="s">
        <v>74</v>
      </c>
      <c r="I472" t="s">
        <v>189</v>
      </c>
      <c r="J472" t="s">
        <v>13</v>
      </c>
      <c r="K472" t="b">
        <v>1</v>
      </c>
      <c r="L472">
        <v>2014</v>
      </c>
      <c r="M472">
        <v>17550680174000</v>
      </c>
      <c r="N472">
        <v>230078616299.67499</v>
      </c>
      <c r="O472">
        <v>0</v>
      </c>
    </row>
    <row r="473" spans="1:15" x14ac:dyDescent="0.3">
      <c r="A473" s="1">
        <v>804</v>
      </c>
      <c r="B473" s="2">
        <v>41813</v>
      </c>
      <c r="C473" s="2">
        <f>_xlfn.FLOOR.MATH([1]!Table1[[#This Row],[year]],10)</f>
        <v>2010</v>
      </c>
      <c r="D473" t="s">
        <v>28</v>
      </c>
      <c r="E473" t="s">
        <v>21</v>
      </c>
      <c r="F473">
        <v>0</v>
      </c>
      <c r="G473">
        <v>3</v>
      </c>
      <c r="H473" t="s">
        <v>74</v>
      </c>
      <c r="I473" t="s">
        <v>188</v>
      </c>
      <c r="J473" t="s">
        <v>13</v>
      </c>
      <c r="K473" t="b">
        <v>1</v>
      </c>
      <c r="L473">
        <v>2014</v>
      </c>
      <c r="M473">
        <v>1474677007565.6399</v>
      </c>
      <c r="N473">
        <v>1380244561361.96</v>
      </c>
      <c r="O473">
        <v>-1</v>
      </c>
    </row>
    <row r="474" spans="1:15" x14ac:dyDescent="0.3">
      <c r="A474" s="1">
        <v>805</v>
      </c>
      <c r="B474" s="2">
        <v>41813</v>
      </c>
      <c r="C474" s="2">
        <f>_xlfn.FLOOR.MATH([1]!Table1[[#This Row],[year]],10)</f>
        <v>2010</v>
      </c>
      <c r="D474" t="s">
        <v>13</v>
      </c>
      <c r="E474" t="s">
        <v>40</v>
      </c>
      <c r="F474">
        <v>4</v>
      </c>
      <c r="G474">
        <v>1</v>
      </c>
      <c r="H474" t="s">
        <v>74</v>
      </c>
      <c r="I474" t="s">
        <v>187</v>
      </c>
      <c r="J474" t="s">
        <v>13</v>
      </c>
      <c r="K474" t="b">
        <v>0</v>
      </c>
      <c r="L474">
        <v>2014</v>
      </c>
      <c r="M474">
        <v>2456043766032.3799</v>
      </c>
      <c r="N474">
        <v>36386544706.080597</v>
      </c>
      <c r="O474">
        <v>1</v>
      </c>
    </row>
    <row r="475" spans="1:15" x14ac:dyDescent="0.3">
      <c r="A475" s="1">
        <v>806</v>
      </c>
      <c r="B475" s="2">
        <v>41813</v>
      </c>
      <c r="C475" s="2">
        <f>_xlfn.FLOOR.MATH([1]!Table1[[#This Row],[year]],10)</f>
        <v>2010</v>
      </c>
      <c r="D475" t="s">
        <v>52</v>
      </c>
      <c r="E475" t="s">
        <v>17</v>
      </c>
      <c r="F475">
        <v>1</v>
      </c>
      <c r="G475">
        <v>3</v>
      </c>
      <c r="H475" t="s">
        <v>74</v>
      </c>
      <c r="I475" t="s">
        <v>190</v>
      </c>
      <c r="J475" t="s">
        <v>13</v>
      </c>
      <c r="K475" t="b">
        <v>1</v>
      </c>
      <c r="L475">
        <v>2014</v>
      </c>
      <c r="M475">
        <v>59606934500.995697</v>
      </c>
      <c r="N475">
        <v>1364507717614.1299</v>
      </c>
      <c r="O475">
        <v>1</v>
      </c>
    </row>
    <row r="476" spans="1:15" x14ac:dyDescent="0.3">
      <c r="A476" s="1">
        <v>807</v>
      </c>
      <c r="B476" s="2">
        <v>41813</v>
      </c>
      <c r="C476" s="2">
        <f>_xlfn.FLOOR.MATH([1]!Table1[[#This Row],[year]],10)</f>
        <v>2010</v>
      </c>
      <c r="D476" t="s">
        <v>27</v>
      </c>
      <c r="E476" t="s">
        <v>14</v>
      </c>
      <c r="F476">
        <v>2</v>
      </c>
      <c r="G476">
        <v>0</v>
      </c>
      <c r="H476" t="s">
        <v>74</v>
      </c>
      <c r="I476" t="s">
        <v>179</v>
      </c>
      <c r="J476" t="s">
        <v>13</v>
      </c>
      <c r="K476" t="b">
        <v>1</v>
      </c>
      <c r="L476">
        <v>2014</v>
      </c>
      <c r="M476">
        <v>901556501756.46704</v>
      </c>
      <c r="N476">
        <v>259560978224.35901</v>
      </c>
      <c r="O476">
        <v>1</v>
      </c>
    </row>
    <row r="477" spans="1:15" x14ac:dyDescent="0.3">
      <c r="A477" s="1">
        <v>808</v>
      </c>
      <c r="B477" s="2">
        <v>41814</v>
      </c>
      <c r="C477" s="2">
        <f>_xlfn.FLOOR.MATH([1]!Table1[[#This Row],[year]],10)</f>
        <v>2010</v>
      </c>
      <c r="D477" t="s">
        <v>56</v>
      </c>
      <c r="E477" t="s">
        <v>207</v>
      </c>
      <c r="F477">
        <v>0</v>
      </c>
      <c r="G477">
        <v>0</v>
      </c>
      <c r="H477" t="s">
        <v>74</v>
      </c>
      <c r="I477" t="s">
        <v>183</v>
      </c>
      <c r="J477" t="s">
        <v>13</v>
      </c>
      <c r="K477" t="b">
        <v>1</v>
      </c>
      <c r="L477">
        <v>2014</v>
      </c>
      <c r="M477">
        <v>52016408854.2658</v>
      </c>
      <c r="N477">
        <v>3085362169410.29</v>
      </c>
      <c r="O477">
        <v>0</v>
      </c>
    </row>
    <row r="478" spans="1:15" x14ac:dyDescent="0.3">
      <c r="A478" s="1">
        <v>810</v>
      </c>
      <c r="B478" s="2">
        <v>41814</v>
      </c>
      <c r="C478" s="2">
        <f>_xlfn.FLOOR.MATH([1]!Table1[[#This Row],[year]],10)</f>
        <v>2010</v>
      </c>
      <c r="D478" t="s">
        <v>18</v>
      </c>
      <c r="E478" t="s">
        <v>26</v>
      </c>
      <c r="F478">
        <v>0</v>
      </c>
      <c r="G478">
        <v>1</v>
      </c>
      <c r="H478" t="s">
        <v>74</v>
      </c>
      <c r="I478" t="s">
        <v>181</v>
      </c>
      <c r="J478" t="s">
        <v>13</v>
      </c>
      <c r="K478" t="b">
        <v>1</v>
      </c>
      <c r="L478">
        <v>2014</v>
      </c>
      <c r="M478">
        <v>2173255507985.8401</v>
      </c>
      <c r="N478">
        <v>61496186973.902</v>
      </c>
      <c r="O478">
        <v>-1</v>
      </c>
    </row>
    <row r="479" spans="1:15" x14ac:dyDescent="0.3">
      <c r="A479" s="1">
        <v>811</v>
      </c>
      <c r="B479" s="2">
        <v>41814</v>
      </c>
      <c r="C479" s="2">
        <f>_xlfn.FLOOR.MATH([1]!Table1[[#This Row],[year]],10)</f>
        <v>2010</v>
      </c>
      <c r="D479" t="s">
        <v>51</v>
      </c>
      <c r="E479" t="s">
        <v>15</v>
      </c>
      <c r="F479">
        <v>1</v>
      </c>
      <c r="G479">
        <v>4</v>
      </c>
      <c r="H479" t="s">
        <v>74</v>
      </c>
      <c r="I479" t="s">
        <v>180</v>
      </c>
      <c r="J479" t="s">
        <v>13</v>
      </c>
      <c r="K479" t="b">
        <v>1</v>
      </c>
      <c r="L479">
        <v>2014</v>
      </c>
      <c r="M479">
        <v>4896994405353.29</v>
      </c>
      <c r="N479">
        <v>381240864422.40698</v>
      </c>
      <c r="O479">
        <v>-1</v>
      </c>
    </row>
    <row r="480" spans="1:15" x14ac:dyDescent="0.3">
      <c r="A480" s="1">
        <v>812</v>
      </c>
      <c r="B480" s="2">
        <v>41815</v>
      </c>
      <c r="C480" s="2">
        <f>_xlfn.FLOOR.MATH([1]!Table1[[#This Row],[year]],10)</f>
        <v>2010</v>
      </c>
      <c r="D480" t="s">
        <v>73</v>
      </c>
      <c r="E480" t="s">
        <v>225</v>
      </c>
      <c r="F480">
        <v>3</v>
      </c>
      <c r="G480">
        <v>1</v>
      </c>
      <c r="H480" t="s">
        <v>74</v>
      </c>
      <c r="I480" t="s">
        <v>182</v>
      </c>
      <c r="J480" t="s">
        <v>13</v>
      </c>
      <c r="K480" t="b">
        <v>1</v>
      </c>
      <c r="L480">
        <v>2014</v>
      </c>
      <c r="M480">
        <v>18558734107.1478</v>
      </c>
      <c r="N480">
        <v>462284793280.82501</v>
      </c>
      <c r="O480">
        <v>-1</v>
      </c>
    </row>
    <row r="481" spans="1:15" x14ac:dyDescent="0.3">
      <c r="A481" s="1">
        <v>813</v>
      </c>
      <c r="B481" s="2">
        <v>41815</v>
      </c>
      <c r="C481" s="2">
        <f>_xlfn.FLOOR.MATH([1]!Table1[[#This Row],[year]],10)</f>
        <v>2010</v>
      </c>
      <c r="D481" t="s">
        <v>57</v>
      </c>
      <c r="E481" t="s">
        <v>20</v>
      </c>
      <c r="F481">
        <v>0</v>
      </c>
      <c r="G481">
        <v>0</v>
      </c>
      <c r="H481" t="s">
        <v>74</v>
      </c>
      <c r="I481" t="s">
        <v>185</v>
      </c>
      <c r="J481" t="s">
        <v>13</v>
      </c>
      <c r="K481" t="b">
        <v>1</v>
      </c>
      <c r="L481">
        <v>2014</v>
      </c>
      <c r="M481">
        <v>102717794000</v>
      </c>
      <c r="N481">
        <v>2861236112552.4199</v>
      </c>
      <c r="O481">
        <v>0</v>
      </c>
    </row>
    <row r="482" spans="1:15" x14ac:dyDescent="0.3">
      <c r="A482" s="1">
        <v>814</v>
      </c>
      <c r="B482" s="2">
        <v>41815</v>
      </c>
      <c r="C482" s="2">
        <f>_xlfn.FLOOR.MATH([1]!Table1[[#This Row],[year]],10)</f>
        <v>2010</v>
      </c>
      <c r="D482" t="s">
        <v>65</v>
      </c>
      <c r="E482" t="s">
        <v>46</v>
      </c>
      <c r="F482">
        <v>0</v>
      </c>
      <c r="G482">
        <v>3</v>
      </c>
      <c r="H482" t="s">
        <v>74</v>
      </c>
      <c r="I482" t="s">
        <v>189</v>
      </c>
      <c r="J482" t="s">
        <v>13</v>
      </c>
      <c r="K482" t="b">
        <v>1</v>
      </c>
      <c r="L482">
        <v>2014</v>
      </c>
      <c r="M482">
        <v>19756533971.869801</v>
      </c>
      <c r="N482">
        <v>726537808338</v>
      </c>
      <c r="O482">
        <v>1</v>
      </c>
    </row>
    <row r="483" spans="1:15" x14ac:dyDescent="0.3">
      <c r="A483" s="1">
        <v>815</v>
      </c>
      <c r="B483" s="2">
        <v>41815</v>
      </c>
      <c r="C483" s="2">
        <f>_xlfn.FLOOR.MATH([1]!Table1[[#This Row],[year]],10)</f>
        <v>2010</v>
      </c>
      <c r="D483" t="s">
        <v>43</v>
      </c>
      <c r="E483" t="s">
        <v>19</v>
      </c>
      <c r="F483">
        <v>2</v>
      </c>
      <c r="G483">
        <v>3</v>
      </c>
      <c r="H483" t="s">
        <v>74</v>
      </c>
      <c r="I483" t="s">
        <v>186</v>
      </c>
      <c r="J483" t="s">
        <v>13</v>
      </c>
      <c r="K483" t="b">
        <v>1</v>
      </c>
      <c r="L483">
        <v>2014</v>
      </c>
      <c r="M483">
        <v>574183763411.50806</v>
      </c>
      <c r="N483">
        <v>526319673731.638</v>
      </c>
      <c r="O483">
        <v>-1</v>
      </c>
    </row>
    <row r="484" spans="1:15" x14ac:dyDescent="0.3">
      <c r="A484" s="1">
        <v>818</v>
      </c>
      <c r="B484" s="2">
        <v>41816</v>
      </c>
      <c r="C484" s="2">
        <f>_xlfn.FLOOR.MATH([1]!Table1[[#This Row],[year]],10)</f>
        <v>2010</v>
      </c>
      <c r="D484" t="s">
        <v>38</v>
      </c>
      <c r="E484" t="s">
        <v>63</v>
      </c>
      <c r="F484">
        <v>2</v>
      </c>
      <c r="G484">
        <v>1</v>
      </c>
      <c r="H484" t="s">
        <v>74</v>
      </c>
      <c r="I484" t="s">
        <v>187</v>
      </c>
      <c r="J484" t="s">
        <v>13</v>
      </c>
      <c r="K484" t="b">
        <v>1</v>
      </c>
      <c r="L484">
        <v>2014</v>
      </c>
      <c r="M484">
        <v>230078616299.67499</v>
      </c>
      <c r="N484">
        <v>54678533805.906403</v>
      </c>
      <c r="O484">
        <v>1</v>
      </c>
    </row>
    <row r="485" spans="1:15" x14ac:dyDescent="0.3">
      <c r="A485" s="1">
        <v>819</v>
      </c>
      <c r="B485" s="2">
        <v>41816</v>
      </c>
      <c r="C485" s="2">
        <f>_xlfn.FLOOR.MATH([1]!Table1[[#This Row],[year]],10)</f>
        <v>2010</v>
      </c>
      <c r="D485" t="s">
        <v>41</v>
      </c>
      <c r="E485" t="s">
        <v>16</v>
      </c>
      <c r="F485">
        <v>0</v>
      </c>
      <c r="G485">
        <v>1</v>
      </c>
      <c r="H485" t="s">
        <v>74</v>
      </c>
      <c r="I485" t="s">
        <v>190</v>
      </c>
      <c r="J485" t="s">
        <v>13</v>
      </c>
      <c r="K485" t="b">
        <v>1</v>
      </c>
      <c r="L485">
        <v>2014</v>
      </c>
      <c r="M485">
        <v>17550680174000</v>
      </c>
      <c r="N485">
        <v>3964870735760.77</v>
      </c>
      <c r="O485">
        <v>-1</v>
      </c>
    </row>
    <row r="486" spans="1:15" x14ac:dyDescent="0.3">
      <c r="A486" s="1">
        <v>820</v>
      </c>
      <c r="B486" s="2">
        <v>41818</v>
      </c>
      <c r="C486" s="2">
        <f>_xlfn.FLOOR.MATH([1]!Table1[[#This Row],[year]],10)</f>
        <v>2010</v>
      </c>
      <c r="D486" t="s">
        <v>13</v>
      </c>
      <c r="E486" t="s">
        <v>14</v>
      </c>
      <c r="F486">
        <v>1</v>
      </c>
      <c r="G486">
        <v>1</v>
      </c>
      <c r="H486" t="s">
        <v>74</v>
      </c>
      <c r="I486" t="s">
        <v>183</v>
      </c>
      <c r="J486" t="s">
        <v>13</v>
      </c>
      <c r="K486" t="b">
        <v>0</v>
      </c>
      <c r="L486">
        <v>2014</v>
      </c>
      <c r="M486">
        <v>2456043766032.3799</v>
      </c>
      <c r="N486">
        <v>259560978224.35901</v>
      </c>
      <c r="O486">
        <v>0</v>
      </c>
    </row>
    <row r="487" spans="1:15" x14ac:dyDescent="0.3">
      <c r="A487" s="1">
        <v>821</v>
      </c>
      <c r="B487" s="2">
        <v>41818</v>
      </c>
      <c r="C487" s="2">
        <f>_xlfn.FLOOR.MATH([1]!Table1[[#This Row],[year]],10)</f>
        <v>2010</v>
      </c>
      <c r="D487" t="s">
        <v>15</v>
      </c>
      <c r="E487" t="s">
        <v>26</v>
      </c>
      <c r="F487">
        <v>2</v>
      </c>
      <c r="G487">
        <v>0</v>
      </c>
      <c r="H487" t="s">
        <v>74</v>
      </c>
      <c r="I487" t="s">
        <v>185</v>
      </c>
      <c r="J487" t="s">
        <v>13</v>
      </c>
      <c r="K487" t="b">
        <v>1</v>
      </c>
      <c r="L487">
        <v>2014</v>
      </c>
      <c r="M487">
        <v>381240864422.40698</v>
      </c>
      <c r="N487">
        <v>61496186973.902</v>
      </c>
      <c r="O487">
        <v>1</v>
      </c>
    </row>
    <row r="488" spans="1:15" x14ac:dyDescent="0.3">
      <c r="A488" s="1">
        <v>822</v>
      </c>
      <c r="B488" s="2">
        <v>41819</v>
      </c>
      <c r="C488" s="2">
        <f>_xlfn.FLOOR.MATH([1]!Table1[[#This Row],[year]],10)</f>
        <v>2010</v>
      </c>
      <c r="D488" t="s">
        <v>56</v>
      </c>
      <c r="E488" t="s">
        <v>48</v>
      </c>
      <c r="F488">
        <v>1</v>
      </c>
      <c r="G488">
        <v>1</v>
      </c>
      <c r="H488" t="s">
        <v>74</v>
      </c>
      <c r="I488" t="s">
        <v>190</v>
      </c>
      <c r="J488" t="s">
        <v>13</v>
      </c>
      <c r="K488" t="b">
        <v>1</v>
      </c>
      <c r="L488">
        <v>2014</v>
      </c>
      <c r="M488">
        <v>52016408854.2658</v>
      </c>
      <c r="N488">
        <v>233911581521.06201</v>
      </c>
      <c r="O488">
        <v>0</v>
      </c>
    </row>
    <row r="489" spans="1:15" x14ac:dyDescent="0.3">
      <c r="A489" s="1">
        <v>823</v>
      </c>
      <c r="B489" s="2">
        <v>41819</v>
      </c>
      <c r="C489" s="2">
        <f>_xlfn.FLOOR.MATH([1]!Table1[[#This Row],[year]],10)</f>
        <v>2010</v>
      </c>
      <c r="D489" t="s">
        <v>27</v>
      </c>
      <c r="E489" t="s">
        <v>17</v>
      </c>
      <c r="F489">
        <v>2</v>
      </c>
      <c r="G489">
        <v>1</v>
      </c>
      <c r="H489" t="s">
        <v>74</v>
      </c>
      <c r="I489" t="s">
        <v>184</v>
      </c>
      <c r="J489" t="s">
        <v>13</v>
      </c>
      <c r="K489" t="b">
        <v>1</v>
      </c>
      <c r="L489">
        <v>2014</v>
      </c>
      <c r="M489">
        <v>901556501756.46704</v>
      </c>
      <c r="N489">
        <v>1364507717614.1299</v>
      </c>
      <c r="O489">
        <v>-1</v>
      </c>
    </row>
    <row r="490" spans="1:15" x14ac:dyDescent="0.3">
      <c r="A490" s="1">
        <v>824</v>
      </c>
      <c r="B490" s="2">
        <v>41820</v>
      </c>
      <c r="C490" s="2">
        <f>_xlfn.FLOOR.MATH([1]!Table1[[#This Row],[year]],10)</f>
        <v>2010</v>
      </c>
      <c r="D490" t="s">
        <v>20</v>
      </c>
      <c r="E490" t="s">
        <v>43</v>
      </c>
      <c r="F490">
        <v>2</v>
      </c>
      <c r="G490">
        <v>0</v>
      </c>
      <c r="H490" t="s">
        <v>74</v>
      </c>
      <c r="I490" t="s">
        <v>187</v>
      </c>
      <c r="J490" t="s">
        <v>13</v>
      </c>
      <c r="K490" t="b">
        <v>1</v>
      </c>
      <c r="L490">
        <v>2014</v>
      </c>
      <c r="M490">
        <v>2861236112552.4199</v>
      </c>
      <c r="N490">
        <v>574183763411.50806</v>
      </c>
      <c r="O490">
        <v>1</v>
      </c>
    </row>
    <row r="491" spans="1:15" x14ac:dyDescent="0.3">
      <c r="A491" s="1">
        <v>825</v>
      </c>
      <c r="B491" s="2">
        <v>41820</v>
      </c>
      <c r="C491" s="2">
        <f>_xlfn.FLOOR.MATH([1]!Table1[[#This Row],[year]],10)</f>
        <v>2010</v>
      </c>
      <c r="D491" t="s">
        <v>16</v>
      </c>
      <c r="E491" t="s">
        <v>32</v>
      </c>
      <c r="F491">
        <v>2</v>
      </c>
      <c r="G491">
        <v>1</v>
      </c>
      <c r="H491" t="s">
        <v>74</v>
      </c>
      <c r="I491" t="s">
        <v>186</v>
      </c>
      <c r="J491" t="s">
        <v>13</v>
      </c>
      <c r="K491" t="b">
        <v>1</v>
      </c>
      <c r="L491">
        <v>2014</v>
      </c>
      <c r="M491">
        <v>3964870735760.77</v>
      </c>
      <c r="N491">
        <v>238942664192.59</v>
      </c>
      <c r="O491">
        <v>1</v>
      </c>
    </row>
    <row r="492" spans="1:15" x14ac:dyDescent="0.3">
      <c r="A492" s="1">
        <v>826</v>
      </c>
      <c r="B492" s="2">
        <v>41821</v>
      </c>
      <c r="C492" s="2">
        <f>_xlfn.FLOOR.MATH([1]!Table1[[#This Row],[year]],10)</f>
        <v>2010</v>
      </c>
      <c r="D492" t="s">
        <v>19</v>
      </c>
      <c r="E492" t="s">
        <v>46</v>
      </c>
      <c r="F492">
        <v>1</v>
      </c>
      <c r="G492">
        <v>0</v>
      </c>
      <c r="H492" t="s">
        <v>74</v>
      </c>
      <c r="I492" t="s">
        <v>179</v>
      </c>
      <c r="J492" t="s">
        <v>13</v>
      </c>
      <c r="K492" t="b">
        <v>1</v>
      </c>
      <c r="L492">
        <v>2014</v>
      </c>
      <c r="M492">
        <v>526319673731.638</v>
      </c>
      <c r="N492">
        <v>726537808338</v>
      </c>
      <c r="O492">
        <v>-1</v>
      </c>
    </row>
    <row r="493" spans="1:15" x14ac:dyDescent="0.3">
      <c r="A493" s="1">
        <v>827</v>
      </c>
      <c r="B493" s="2">
        <v>41821</v>
      </c>
      <c r="C493" s="2">
        <f>_xlfn.FLOOR.MATH([1]!Table1[[#This Row],[year]],10)</f>
        <v>2010</v>
      </c>
      <c r="D493" t="s">
        <v>23</v>
      </c>
      <c r="E493" t="s">
        <v>41</v>
      </c>
      <c r="F493">
        <v>2</v>
      </c>
      <c r="G493">
        <v>1</v>
      </c>
      <c r="H493" t="s">
        <v>74</v>
      </c>
      <c r="I493" t="s">
        <v>182</v>
      </c>
      <c r="J493" t="s">
        <v>13</v>
      </c>
      <c r="K493" t="b">
        <v>1</v>
      </c>
      <c r="L493">
        <v>2014</v>
      </c>
      <c r="M493">
        <v>537987419164.35101</v>
      </c>
      <c r="N493">
        <v>17550680174000</v>
      </c>
      <c r="O493">
        <v>-1</v>
      </c>
    </row>
    <row r="494" spans="1:15" x14ac:dyDescent="0.3">
      <c r="A494" s="1">
        <v>828</v>
      </c>
      <c r="B494" s="2">
        <v>41824</v>
      </c>
      <c r="C494" s="2">
        <f>_xlfn.FLOOR.MATH([1]!Table1[[#This Row],[year]],10)</f>
        <v>2010</v>
      </c>
      <c r="D494" t="s">
        <v>13</v>
      </c>
      <c r="E494" t="s">
        <v>15</v>
      </c>
      <c r="F494">
        <v>2</v>
      </c>
      <c r="G494">
        <v>1</v>
      </c>
      <c r="H494" t="s">
        <v>74</v>
      </c>
      <c r="I494" t="s">
        <v>184</v>
      </c>
      <c r="J494" t="s">
        <v>13</v>
      </c>
      <c r="K494" t="b">
        <v>0</v>
      </c>
      <c r="L494">
        <v>2014</v>
      </c>
      <c r="M494">
        <v>2456043766032.3799</v>
      </c>
      <c r="N494">
        <v>381240864422.40698</v>
      </c>
      <c r="O494">
        <v>1</v>
      </c>
    </row>
    <row r="495" spans="1:15" x14ac:dyDescent="0.3">
      <c r="A495" s="1">
        <v>829</v>
      </c>
      <c r="B495" s="2">
        <v>41824</v>
      </c>
      <c r="C495" s="2">
        <f>_xlfn.FLOOR.MATH([1]!Table1[[#This Row],[year]],10)</f>
        <v>2010</v>
      </c>
      <c r="D495" t="s">
        <v>20</v>
      </c>
      <c r="E495" t="s">
        <v>16</v>
      </c>
      <c r="F495">
        <v>0</v>
      </c>
      <c r="G495">
        <v>1</v>
      </c>
      <c r="H495" t="s">
        <v>74</v>
      </c>
      <c r="I495" t="s">
        <v>185</v>
      </c>
      <c r="J495" t="s">
        <v>13</v>
      </c>
      <c r="K495" t="b">
        <v>1</v>
      </c>
      <c r="L495">
        <v>2014</v>
      </c>
      <c r="M495">
        <v>2861236112552.4199</v>
      </c>
      <c r="N495">
        <v>3964870735760.77</v>
      </c>
      <c r="O495">
        <v>1</v>
      </c>
    </row>
    <row r="496" spans="1:15" x14ac:dyDescent="0.3">
      <c r="A496" s="1">
        <v>830</v>
      </c>
      <c r="B496" s="2">
        <v>41825</v>
      </c>
      <c r="C496" s="2">
        <f>_xlfn.FLOOR.MATH([1]!Table1[[#This Row],[year]],10)</f>
        <v>2010</v>
      </c>
      <c r="D496" t="s">
        <v>19</v>
      </c>
      <c r="E496" t="s">
        <v>23</v>
      </c>
      <c r="F496">
        <v>1</v>
      </c>
      <c r="G496">
        <v>0</v>
      </c>
      <c r="H496" t="s">
        <v>74</v>
      </c>
      <c r="I496" t="s">
        <v>187</v>
      </c>
      <c r="J496" t="s">
        <v>13</v>
      </c>
      <c r="K496" t="b">
        <v>1</v>
      </c>
      <c r="L496">
        <v>2014</v>
      </c>
      <c r="M496">
        <v>526319673731.638</v>
      </c>
      <c r="N496">
        <v>537987419164.35101</v>
      </c>
      <c r="O496">
        <v>-1</v>
      </c>
    </row>
    <row r="497" spans="1:15" x14ac:dyDescent="0.3">
      <c r="A497" s="1">
        <v>831</v>
      </c>
      <c r="B497" s="2">
        <v>41825</v>
      </c>
      <c r="C497" s="2">
        <f>_xlfn.FLOOR.MATH([1]!Table1[[#This Row],[year]],10)</f>
        <v>2010</v>
      </c>
      <c r="D497" t="s">
        <v>27</v>
      </c>
      <c r="E497" t="s">
        <v>56</v>
      </c>
      <c r="F497">
        <v>0</v>
      </c>
      <c r="G497">
        <v>0</v>
      </c>
      <c r="H497" t="s">
        <v>74</v>
      </c>
      <c r="I497" t="s">
        <v>182</v>
      </c>
      <c r="J497" t="s">
        <v>13</v>
      </c>
      <c r="K497" t="b">
        <v>1</v>
      </c>
      <c r="L497">
        <v>2014</v>
      </c>
      <c r="M497">
        <v>901556501756.46704</v>
      </c>
      <c r="N497">
        <v>52016408854.2658</v>
      </c>
      <c r="O497">
        <v>0</v>
      </c>
    </row>
    <row r="498" spans="1:15" x14ac:dyDescent="0.3">
      <c r="A498" s="1">
        <v>832</v>
      </c>
      <c r="B498" s="2">
        <v>41828</v>
      </c>
      <c r="C498" s="2">
        <f>_xlfn.FLOOR.MATH([1]!Table1[[#This Row],[year]],10)</f>
        <v>2010</v>
      </c>
      <c r="D498" t="s">
        <v>13</v>
      </c>
      <c r="E498" t="s">
        <v>16</v>
      </c>
      <c r="F498">
        <v>1</v>
      </c>
      <c r="G498">
        <v>7</v>
      </c>
      <c r="H498" t="s">
        <v>74</v>
      </c>
      <c r="I498" t="s">
        <v>183</v>
      </c>
      <c r="J498" t="s">
        <v>13</v>
      </c>
      <c r="K498" t="b">
        <v>0</v>
      </c>
      <c r="L498">
        <v>2014</v>
      </c>
      <c r="M498">
        <v>2456043766032.3799</v>
      </c>
      <c r="N498">
        <v>3964870735760.77</v>
      </c>
      <c r="O498">
        <v>1</v>
      </c>
    </row>
    <row r="499" spans="1:15" x14ac:dyDescent="0.3">
      <c r="A499" s="1">
        <v>833</v>
      </c>
      <c r="B499" s="2">
        <v>41829</v>
      </c>
      <c r="C499" s="2">
        <f>_xlfn.FLOOR.MATH([1]!Table1[[#This Row],[year]],10)</f>
        <v>2010</v>
      </c>
      <c r="D499" t="s">
        <v>27</v>
      </c>
      <c r="E499" t="s">
        <v>19</v>
      </c>
      <c r="F499">
        <v>0</v>
      </c>
      <c r="G499">
        <v>0</v>
      </c>
      <c r="H499" t="s">
        <v>74</v>
      </c>
      <c r="I499" t="s">
        <v>179</v>
      </c>
      <c r="J499" t="s">
        <v>13</v>
      </c>
      <c r="K499" t="b">
        <v>1</v>
      </c>
      <c r="L499">
        <v>2014</v>
      </c>
      <c r="M499">
        <v>901556501756.46704</v>
      </c>
      <c r="N499">
        <v>526319673731.638</v>
      </c>
      <c r="O499">
        <v>0</v>
      </c>
    </row>
    <row r="500" spans="1:15" x14ac:dyDescent="0.3">
      <c r="A500" s="1">
        <v>834</v>
      </c>
      <c r="B500" s="2">
        <v>41832</v>
      </c>
      <c r="C500" s="2">
        <f>_xlfn.FLOOR.MATH([1]!Table1[[#This Row],[year]],10)</f>
        <v>2010</v>
      </c>
      <c r="D500" t="s">
        <v>13</v>
      </c>
      <c r="E500" t="s">
        <v>27</v>
      </c>
      <c r="F500">
        <v>0</v>
      </c>
      <c r="G500">
        <v>3</v>
      </c>
      <c r="H500" t="s">
        <v>74</v>
      </c>
      <c r="I500" t="s">
        <v>187</v>
      </c>
      <c r="J500" t="s">
        <v>13</v>
      </c>
      <c r="K500" t="b">
        <v>0</v>
      </c>
      <c r="L500">
        <v>2014</v>
      </c>
      <c r="M500">
        <v>2456043766032.3799</v>
      </c>
      <c r="N500">
        <v>901556501756.46704</v>
      </c>
      <c r="O500">
        <v>-1</v>
      </c>
    </row>
    <row r="501" spans="1:15" x14ac:dyDescent="0.3">
      <c r="A501" s="1">
        <v>835</v>
      </c>
      <c r="B501" s="2">
        <v>41833</v>
      </c>
      <c r="C501" s="2">
        <f>_xlfn.FLOOR.MATH([1]!Table1[[#This Row],[year]],10)</f>
        <v>2010</v>
      </c>
      <c r="D501" t="s">
        <v>16</v>
      </c>
      <c r="E501" t="s">
        <v>19</v>
      </c>
      <c r="F501">
        <v>1</v>
      </c>
      <c r="G501">
        <v>0</v>
      </c>
      <c r="H501" t="s">
        <v>74</v>
      </c>
      <c r="I501" t="s">
        <v>185</v>
      </c>
      <c r="J501" t="s">
        <v>13</v>
      </c>
      <c r="K501" t="b">
        <v>1</v>
      </c>
      <c r="L501">
        <v>2014</v>
      </c>
      <c r="M501">
        <v>3964870735760.77</v>
      </c>
      <c r="N501">
        <v>526319673731.638</v>
      </c>
      <c r="O501">
        <v>1</v>
      </c>
    </row>
    <row r="502" spans="1:15" x14ac:dyDescent="0.3">
      <c r="A502" s="1">
        <v>837</v>
      </c>
      <c r="B502" s="2">
        <v>43266</v>
      </c>
      <c r="C502" s="2">
        <f>_xlfn.FLOOR.MATH([1]!Table1[[#This Row],[year]],10)</f>
        <v>2010</v>
      </c>
      <c r="D502" t="s">
        <v>228</v>
      </c>
      <c r="E502" t="s">
        <v>26</v>
      </c>
      <c r="F502">
        <v>0</v>
      </c>
      <c r="G502">
        <v>1</v>
      </c>
      <c r="H502" t="s">
        <v>74</v>
      </c>
      <c r="I502" t="s">
        <v>198</v>
      </c>
      <c r="J502" t="s">
        <v>209</v>
      </c>
      <c r="K502" t="b">
        <v>1</v>
      </c>
      <c r="L502">
        <v>2018</v>
      </c>
      <c r="M502">
        <v>262588632526.73001</v>
      </c>
      <c r="N502">
        <v>65344577415.753502</v>
      </c>
      <c r="O502">
        <v>-1</v>
      </c>
    </row>
    <row r="503" spans="1:15" x14ac:dyDescent="0.3">
      <c r="A503" s="1">
        <v>838</v>
      </c>
      <c r="B503" s="2">
        <v>43266</v>
      </c>
      <c r="C503" s="2">
        <f>_xlfn.FLOOR.MATH([1]!Table1[[#This Row],[year]],10)</f>
        <v>2010</v>
      </c>
      <c r="D503" t="s">
        <v>24</v>
      </c>
      <c r="E503" t="s">
        <v>225</v>
      </c>
      <c r="F503">
        <v>0</v>
      </c>
      <c r="G503">
        <v>1</v>
      </c>
      <c r="H503" t="s">
        <v>74</v>
      </c>
      <c r="I503" t="s">
        <v>200</v>
      </c>
      <c r="J503" t="s">
        <v>209</v>
      </c>
      <c r="K503" t="b">
        <v>1</v>
      </c>
      <c r="L503">
        <v>2018</v>
      </c>
      <c r="M503">
        <v>127341147581.81799</v>
      </c>
      <c r="N503">
        <v>411903303606.04401</v>
      </c>
      <c r="O503">
        <v>1</v>
      </c>
    </row>
    <row r="504" spans="1:15" x14ac:dyDescent="0.3">
      <c r="A504" s="1">
        <v>839</v>
      </c>
      <c r="B504" s="2">
        <v>43266</v>
      </c>
      <c r="C504" s="2">
        <f>_xlfn.FLOOR.MATH([1]!Table1[[#This Row],[year]],10)</f>
        <v>2010</v>
      </c>
      <c r="D504" t="s">
        <v>38</v>
      </c>
      <c r="E504" t="s">
        <v>21</v>
      </c>
      <c r="F504">
        <v>3</v>
      </c>
      <c r="G504">
        <v>3</v>
      </c>
      <c r="H504" t="s">
        <v>74</v>
      </c>
      <c r="I504" t="s">
        <v>191</v>
      </c>
      <c r="J504" t="s">
        <v>209</v>
      </c>
      <c r="K504" t="b">
        <v>1</v>
      </c>
      <c r="L504">
        <v>2018</v>
      </c>
      <c r="M504">
        <v>242092894542.888</v>
      </c>
      <c r="N504">
        <v>1431642809327.0601</v>
      </c>
      <c r="O504">
        <v>0</v>
      </c>
    </row>
    <row r="505" spans="1:15" x14ac:dyDescent="0.3">
      <c r="A505" s="1">
        <v>840</v>
      </c>
      <c r="B505" s="2">
        <v>43267</v>
      </c>
      <c r="C505" s="2">
        <f>_xlfn.FLOOR.MATH([1]!Table1[[#This Row],[year]],10)</f>
        <v>2010</v>
      </c>
      <c r="D505" t="s">
        <v>20</v>
      </c>
      <c r="E505" t="s">
        <v>28</v>
      </c>
      <c r="F505">
        <v>2</v>
      </c>
      <c r="G505">
        <v>1</v>
      </c>
      <c r="H505" t="s">
        <v>74</v>
      </c>
      <c r="I505" t="s">
        <v>192</v>
      </c>
      <c r="J505" t="s">
        <v>209</v>
      </c>
      <c r="K505" t="b">
        <v>1</v>
      </c>
      <c r="L505">
        <v>2018</v>
      </c>
      <c r="M505">
        <v>2781576320884.3901</v>
      </c>
      <c r="N505">
        <v>1433144978761.6699</v>
      </c>
      <c r="O505">
        <v>1</v>
      </c>
    </row>
    <row r="506" spans="1:15" x14ac:dyDescent="0.3">
      <c r="A506" s="1">
        <v>841</v>
      </c>
      <c r="B506" s="2">
        <v>43267</v>
      </c>
      <c r="C506" s="2">
        <f>_xlfn.FLOOR.MATH([1]!Table1[[#This Row],[year]],10)</f>
        <v>2010</v>
      </c>
      <c r="D506" t="s">
        <v>19</v>
      </c>
      <c r="E506" t="s">
        <v>66</v>
      </c>
      <c r="F506">
        <v>1</v>
      </c>
      <c r="G506">
        <v>1</v>
      </c>
      <c r="H506" t="s">
        <v>74</v>
      </c>
      <c r="I506" t="s">
        <v>193</v>
      </c>
      <c r="J506" t="s">
        <v>209</v>
      </c>
      <c r="K506" t="b">
        <v>1</v>
      </c>
      <c r="L506">
        <v>2018</v>
      </c>
      <c r="M506">
        <v>524819892360.17603</v>
      </c>
      <c r="N506">
        <v>26677652544.349899</v>
      </c>
      <c r="O506">
        <v>0</v>
      </c>
    </row>
    <row r="507" spans="1:15" x14ac:dyDescent="0.3">
      <c r="A507" s="1">
        <v>842</v>
      </c>
      <c r="B507" s="2">
        <v>43267</v>
      </c>
      <c r="C507" s="2">
        <f>_xlfn.FLOOR.MATH([1]!Table1[[#This Row],[year]],10)</f>
        <v>2010</v>
      </c>
      <c r="D507" t="s">
        <v>31</v>
      </c>
      <c r="E507" t="s">
        <v>36</v>
      </c>
      <c r="F507">
        <v>0</v>
      </c>
      <c r="G507">
        <v>1</v>
      </c>
      <c r="H507" t="s">
        <v>74</v>
      </c>
      <c r="I507" t="s">
        <v>194</v>
      </c>
      <c r="J507" t="s">
        <v>209</v>
      </c>
      <c r="K507" t="b">
        <v>1</v>
      </c>
      <c r="L507">
        <v>2018</v>
      </c>
      <c r="M507">
        <v>222597009739.23499</v>
      </c>
      <c r="N507">
        <v>355293374912.39301</v>
      </c>
      <c r="O507">
        <v>1</v>
      </c>
    </row>
    <row r="508" spans="1:15" x14ac:dyDescent="0.3">
      <c r="A508" s="1">
        <v>843</v>
      </c>
      <c r="B508" s="2">
        <v>43267</v>
      </c>
      <c r="C508" s="2">
        <f>_xlfn.FLOOR.MATH([1]!Table1[[#This Row],[year]],10)</f>
        <v>2010</v>
      </c>
      <c r="D508" t="s">
        <v>52</v>
      </c>
      <c r="E508" t="s">
        <v>43</v>
      </c>
      <c r="F508">
        <v>2</v>
      </c>
      <c r="G508">
        <v>0</v>
      </c>
      <c r="H508" t="s">
        <v>74</v>
      </c>
      <c r="I508" t="s">
        <v>195</v>
      </c>
      <c r="J508" t="s">
        <v>209</v>
      </c>
      <c r="K508" t="b">
        <v>1</v>
      </c>
      <c r="L508">
        <v>2018</v>
      </c>
      <c r="M508">
        <v>61667925219.0755</v>
      </c>
      <c r="N508">
        <v>421739251509.08002</v>
      </c>
      <c r="O508">
        <v>-1</v>
      </c>
    </row>
    <row r="509" spans="1:15" x14ac:dyDescent="0.3">
      <c r="A509" s="1">
        <v>844</v>
      </c>
      <c r="B509" s="2">
        <v>43268</v>
      </c>
      <c r="C509" s="2">
        <f>_xlfn.FLOOR.MATH([1]!Table1[[#This Row],[year]],10)</f>
        <v>2010</v>
      </c>
      <c r="D509" t="s">
        <v>56</v>
      </c>
      <c r="E509" t="s">
        <v>61</v>
      </c>
      <c r="F509">
        <v>0</v>
      </c>
      <c r="G509">
        <v>1</v>
      </c>
      <c r="H509" t="s">
        <v>74</v>
      </c>
      <c r="I509" t="s">
        <v>196</v>
      </c>
      <c r="J509" t="s">
        <v>209</v>
      </c>
      <c r="K509" t="b">
        <v>1</v>
      </c>
      <c r="L509">
        <v>2018</v>
      </c>
      <c r="M509">
        <v>62420164991.537399</v>
      </c>
      <c r="N509">
        <v>52787520248.924202</v>
      </c>
      <c r="O509">
        <v>-1</v>
      </c>
    </row>
    <row r="510" spans="1:15" x14ac:dyDescent="0.3">
      <c r="A510" s="1">
        <v>845</v>
      </c>
      <c r="B510" s="2">
        <v>43268</v>
      </c>
      <c r="C510" s="2">
        <f>_xlfn.FLOOR.MATH([1]!Table1[[#This Row],[year]],10)</f>
        <v>2010</v>
      </c>
      <c r="D510" t="s">
        <v>16</v>
      </c>
      <c r="E510" t="s">
        <v>17</v>
      </c>
      <c r="F510">
        <v>0</v>
      </c>
      <c r="G510">
        <v>1</v>
      </c>
      <c r="H510" t="s">
        <v>74</v>
      </c>
      <c r="I510" t="s">
        <v>193</v>
      </c>
      <c r="J510" t="s">
        <v>209</v>
      </c>
      <c r="K510" t="b">
        <v>1</v>
      </c>
      <c r="L510">
        <v>2018</v>
      </c>
      <c r="M510">
        <v>4055433215301.96</v>
      </c>
      <c r="N510">
        <v>1256300182879.73</v>
      </c>
      <c r="O510">
        <v>-1</v>
      </c>
    </row>
    <row r="511" spans="1:15" x14ac:dyDescent="0.3">
      <c r="A511" s="1">
        <v>846</v>
      </c>
      <c r="B511" s="2">
        <v>43268</v>
      </c>
      <c r="C511" s="2">
        <f>_xlfn.FLOOR.MATH([1]!Table1[[#This Row],[year]],10)</f>
        <v>2010</v>
      </c>
      <c r="D511" t="s">
        <v>13</v>
      </c>
      <c r="E511" t="s">
        <v>46</v>
      </c>
      <c r="F511">
        <v>1</v>
      </c>
      <c r="G511">
        <v>1</v>
      </c>
      <c r="H511" t="s">
        <v>74</v>
      </c>
      <c r="I511" t="s">
        <v>197</v>
      </c>
      <c r="J511" t="s">
        <v>209</v>
      </c>
      <c r="K511" t="b">
        <v>1</v>
      </c>
      <c r="L511">
        <v>2018</v>
      </c>
      <c r="M511">
        <v>1916933708352.71</v>
      </c>
      <c r="N511">
        <v>725568717468.00098</v>
      </c>
      <c r="O511">
        <v>0</v>
      </c>
    </row>
    <row r="512" spans="1:15" x14ac:dyDescent="0.3">
      <c r="A512" s="1">
        <v>848</v>
      </c>
      <c r="B512" s="2">
        <v>43269</v>
      </c>
      <c r="C512" s="2">
        <f>_xlfn.FLOOR.MATH([1]!Table1[[#This Row],[year]],10)</f>
        <v>2010</v>
      </c>
      <c r="D512" t="s">
        <v>23</v>
      </c>
      <c r="E512" t="s">
        <v>67</v>
      </c>
      <c r="F512">
        <v>3</v>
      </c>
      <c r="G512">
        <v>0</v>
      </c>
      <c r="H512" t="s">
        <v>74</v>
      </c>
      <c r="I512" t="s">
        <v>191</v>
      </c>
      <c r="J512" t="s">
        <v>209</v>
      </c>
      <c r="K512" t="b">
        <v>1</v>
      </c>
      <c r="L512">
        <v>2018</v>
      </c>
      <c r="M512">
        <v>542638913427.92102</v>
      </c>
      <c r="N512">
        <v>67316471181.248802</v>
      </c>
      <c r="O512">
        <v>1</v>
      </c>
    </row>
    <row r="513" spans="1:15" x14ac:dyDescent="0.3">
      <c r="A513" s="1">
        <v>849</v>
      </c>
      <c r="B513" s="2">
        <v>43269</v>
      </c>
      <c r="C513" s="2">
        <f>_xlfn.FLOOR.MATH([1]!Table1[[#This Row],[year]],10)</f>
        <v>2010</v>
      </c>
      <c r="D513" t="s">
        <v>53</v>
      </c>
      <c r="E513" t="s">
        <v>207</v>
      </c>
      <c r="F513">
        <v>1</v>
      </c>
      <c r="G513">
        <v>2</v>
      </c>
      <c r="H513" t="s">
        <v>74</v>
      </c>
      <c r="I513" t="s">
        <v>201</v>
      </c>
      <c r="J513" t="s">
        <v>209</v>
      </c>
      <c r="K513" t="b">
        <v>1</v>
      </c>
      <c r="L513">
        <v>2018</v>
      </c>
      <c r="M513">
        <v>42686504459.801003</v>
      </c>
      <c r="N513">
        <v>2897028009916.0498</v>
      </c>
      <c r="O513">
        <v>1</v>
      </c>
    </row>
    <row r="514" spans="1:15" x14ac:dyDescent="0.3">
      <c r="A514" s="1">
        <v>850</v>
      </c>
      <c r="B514" s="2">
        <v>43270</v>
      </c>
      <c r="C514" s="2">
        <f>_xlfn.FLOOR.MATH([1]!Table1[[#This Row],[year]],10)</f>
        <v>2010</v>
      </c>
      <c r="D514" t="s">
        <v>15</v>
      </c>
      <c r="E514" t="s">
        <v>51</v>
      </c>
      <c r="F514">
        <v>1</v>
      </c>
      <c r="G514">
        <v>2</v>
      </c>
      <c r="H514" t="s">
        <v>74</v>
      </c>
      <c r="I514" t="s">
        <v>194</v>
      </c>
      <c r="J514" t="s">
        <v>209</v>
      </c>
      <c r="K514" t="b">
        <v>1</v>
      </c>
      <c r="L514">
        <v>2018</v>
      </c>
      <c r="M514">
        <v>334198218098.276</v>
      </c>
      <c r="N514">
        <v>5040880939324.8604</v>
      </c>
      <c r="O514">
        <v>1</v>
      </c>
    </row>
    <row r="515" spans="1:15" x14ac:dyDescent="0.3">
      <c r="A515" s="1">
        <v>851</v>
      </c>
      <c r="B515" s="2">
        <v>43270</v>
      </c>
      <c r="C515" s="2">
        <f>_xlfn.FLOOR.MATH([1]!Table1[[#This Row],[year]],10)</f>
        <v>2010</v>
      </c>
      <c r="D515" t="s">
        <v>58</v>
      </c>
      <c r="E515" t="s">
        <v>54</v>
      </c>
      <c r="F515">
        <v>1</v>
      </c>
      <c r="G515">
        <v>2</v>
      </c>
      <c r="H515" t="s">
        <v>74</v>
      </c>
      <c r="I515" t="s">
        <v>193</v>
      </c>
      <c r="J515" t="s">
        <v>209</v>
      </c>
      <c r="K515" t="b">
        <v>1</v>
      </c>
      <c r="L515">
        <v>2018</v>
      </c>
      <c r="M515">
        <v>594616687350.01697</v>
      </c>
      <c r="N515">
        <v>23116701556.1381</v>
      </c>
      <c r="O515">
        <v>-1</v>
      </c>
    </row>
    <row r="516" spans="1:15" x14ac:dyDescent="0.3">
      <c r="A516" s="1">
        <v>853</v>
      </c>
      <c r="B516" s="2">
        <v>43271</v>
      </c>
      <c r="C516" s="2">
        <f>_xlfn.FLOOR.MATH([1]!Table1[[#This Row],[year]],10)</f>
        <v>2010</v>
      </c>
      <c r="D516" t="s">
        <v>38</v>
      </c>
      <c r="E516" t="s">
        <v>24</v>
      </c>
      <c r="F516">
        <v>1</v>
      </c>
      <c r="G516">
        <v>0</v>
      </c>
      <c r="H516" t="s">
        <v>74</v>
      </c>
      <c r="I516" t="s">
        <v>193</v>
      </c>
      <c r="J516" t="s">
        <v>209</v>
      </c>
      <c r="K516" t="b">
        <v>1</v>
      </c>
      <c r="L516">
        <v>2018</v>
      </c>
      <c r="M516">
        <v>242092894542.888</v>
      </c>
      <c r="N516">
        <v>127341147581.81799</v>
      </c>
      <c r="O516">
        <v>1</v>
      </c>
    </row>
    <row r="517" spans="1:15" x14ac:dyDescent="0.3">
      <c r="A517" s="1">
        <v>854</v>
      </c>
      <c r="B517" s="2">
        <v>43271</v>
      </c>
      <c r="C517" s="2">
        <f>_xlfn.FLOOR.MATH([1]!Table1[[#This Row],[year]],10)</f>
        <v>2010</v>
      </c>
      <c r="D517" t="s">
        <v>26</v>
      </c>
      <c r="E517" t="s">
        <v>45</v>
      </c>
      <c r="F517">
        <v>1</v>
      </c>
      <c r="G517">
        <v>0</v>
      </c>
      <c r="H517" t="s">
        <v>74</v>
      </c>
      <c r="I517" t="s">
        <v>197</v>
      </c>
      <c r="J517" t="s">
        <v>209</v>
      </c>
      <c r="K517" t="b">
        <v>1</v>
      </c>
      <c r="L517">
        <v>2018</v>
      </c>
      <c r="M517">
        <v>65344577415.753502</v>
      </c>
      <c r="N517">
        <v>886564800000</v>
      </c>
      <c r="O517">
        <v>-1</v>
      </c>
    </row>
    <row r="518" spans="1:15" x14ac:dyDescent="0.3">
      <c r="A518" s="1">
        <v>855</v>
      </c>
      <c r="B518" s="2">
        <v>43271</v>
      </c>
      <c r="C518" s="2">
        <f>_xlfn.FLOOR.MATH([1]!Table1[[#This Row],[year]],10)</f>
        <v>2010</v>
      </c>
      <c r="D518" t="s">
        <v>225</v>
      </c>
      <c r="E518" t="s">
        <v>21</v>
      </c>
      <c r="F518">
        <v>0</v>
      </c>
      <c r="G518">
        <v>1</v>
      </c>
      <c r="H518" t="s">
        <v>74</v>
      </c>
      <c r="I518" t="s">
        <v>192</v>
      </c>
      <c r="J518" t="s">
        <v>209</v>
      </c>
      <c r="K518" t="b">
        <v>1</v>
      </c>
      <c r="L518">
        <v>2018</v>
      </c>
      <c r="M518">
        <v>411903303606.04401</v>
      </c>
      <c r="N518">
        <v>1431642809327.0601</v>
      </c>
      <c r="O518">
        <v>1</v>
      </c>
    </row>
    <row r="519" spans="1:15" x14ac:dyDescent="0.3">
      <c r="A519" s="1">
        <v>856</v>
      </c>
      <c r="B519" s="2">
        <v>43272</v>
      </c>
      <c r="C519" s="2">
        <f>_xlfn.FLOOR.MATH([1]!Table1[[#This Row],[year]],10)</f>
        <v>2010</v>
      </c>
      <c r="D519" t="s">
        <v>36</v>
      </c>
      <c r="E519" t="s">
        <v>28</v>
      </c>
      <c r="F519">
        <v>1</v>
      </c>
      <c r="G519">
        <v>1</v>
      </c>
      <c r="H519" t="s">
        <v>74</v>
      </c>
      <c r="I519" t="s">
        <v>196</v>
      </c>
      <c r="J519" t="s">
        <v>209</v>
      </c>
      <c r="K519" t="b">
        <v>1</v>
      </c>
      <c r="L519">
        <v>2018</v>
      </c>
      <c r="M519">
        <v>355293374912.39301</v>
      </c>
      <c r="N519">
        <v>1433144978761.6699</v>
      </c>
      <c r="O519">
        <v>0</v>
      </c>
    </row>
    <row r="520" spans="1:15" x14ac:dyDescent="0.3">
      <c r="A520" s="1">
        <v>857</v>
      </c>
      <c r="B520" s="2">
        <v>43272</v>
      </c>
      <c r="C520" s="2">
        <f>_xlfn.FLOOR.MATH([1]!Table1[[#This Row],[year]],10)</f>
        <v>2010</v>
      </c>
      <c r="D520" t="s">
        <v>20</v>
      </c>
      <c r="E520" t="s">
        <v>31</v>
      </c>
      <c r="F520">
        <v>1</v>
      </c>
      <c r="G520">
        <v>0</v>
      </c>
      <c r="H520" t="s">
        <v>74</v>
      </c>
      <c r="I520" t="s">
        <v>198</v>
      </c>
      <c r="J520" t="s">
        <v>209</v>
      </c>
      <c r="K520" t="b">
        <v>1</v>
      </c>
      <c r="L520">
        <v>2018</v>
      </c>
      <c r="M520">
        <v>2781576320884.3901</v>
      </c>
      <c r="N520">
        <v>222597009739.23499</v>
      </c>
      <c r="O520">
        <v>1</v>
      </c>
    </row>
    <row r="521" spans="1:15" x14ac:dyDescent="0.3">
      <c r="A521" s="1">
        <v>858</v>
      </c>
      <c r="B521" s="2">
        <v>43272</v>
      </c>
      <c r="C521" s="2">
        <f>_xlfn.FLOOR.MATH([1]!Table1[[#This Row],[year]],10)</f>
        <v>2010</v>
      </c>
      <c r="D521" t="s">
        <v>19</v>
      </c>
      <c r="E521" t="s">
        <v>52</v>
      </c>
      <c r="F521">
        <v>0</v>
      </c>
      <c r="G521">
        <v>3</v>
      </c>
      <c r="H521" t="s">
        <v>74</v>
      </c>
      <c r="I521" t="s">
        <v>199</v>
      </c>
      <c r="J521" t="s">
        <v>209</v>
      </c>
      <c r="K521" t="b">
        <v>1</v>
      </c>
      <c r="L521">
        <v>2018</v>
      </c>
      <c r="M521">
        <v>524819892360.17603</v>
      </c>
      <c r="N521">
        <v>61667925219.0755</v>
      </c>
      <c r="O521">
        <v>-1</v>
      </c>
    </row>
    <row r="522" spans="1:15" x14ac:dyDescent="0.3">
      <c r="A522" s="1">
        <v>859</v>
      </c>
      <c r="B522" s="2">
        <v>43273</v>
      </c>
      <c r="C522" s="2">
        <f>_xlfn.FLOOR.MATH([1]!Table1[[#This Row],[year]],10)</f>
        <v>2010</v>
      </c>
      <c r="D522" t="s">
        <v>13</v>
      </c>
      <c r="E522" t="s">
        <v>56</v>
      </c>
      <c r="F522">
        <v>2</v>
      </c>
      <c r="G522">
        <v>0</v>
      </c>
      <c r="H522" t="s">
        <v>74</v>
      </c>
      <c r="I522" t="s">
        <v>200</v>
      </c>
      <c r="J522" t="s">
        <v>209</v>
      </c>
      <c r="K522" t="b">
        <v>1</v>
      </c>
      <c r="L522">
        <v>2018</v>
      </c>
      <c r="M522">
        <v>1916933708352.71</v>
      </c>
      <c r="N522">
        <v>62420164991.537399</v>
      </c>
      <c r="O522">
        <v>1</v>
      </c>
    </row>
    <row r="523" spans="1:15" x14ac:dyDescent="0.3">
      <c r="A523" s="1">
        <v>860</v>
      </c>
      <c r="B523" s="2">
        <v>43273</v>
      </c>
      <c r="C523" s="2">
        <f>_xlfn.FLOOR.MATH([1]!Table1[[#This Row],[year]],10)</f>
        <v>2010</v>
      </c>
      <c r="D523" t="s">
        <v>43</v>
      </c>
      <c r="E523" t="s">
        <v>66</v>
      </c>
      <c r="F523">
        <v>2</v>
      </c>
      <c r="G523">
        <v>0</v>
      </c>
      <c r="H523" t="s">
        <v>74</v>
      </c>
      <c r="I523" t="s">
        <v>201</v>
      </c>
      <c r="J523" t="s">
        <v>209</v>
      </c>
      <c r="K523" t="b">
        <v>1</v>
      </c>
      <c r="L523">
        <v>2018</v>
      </c>
      <c r="M523">
        <v>421739251509.08002</v>
      </c>
      <c r="N523">
        <v>26677652544.349899</v>
      </c>
      <c r="O523">
        <v>1</v>
      </c>
    </row>
    <row r="524" spans="1:15" x14ac:dyDescent="0.3">
      <c r="A524" s="1">
        <v>861</v>
      </c>
      <c r="B524" s="2">
        <v>43273</v>
      </c>
      <c r="C524" s="2">
        <f>_xlfn.FLOOR.MATH([1]!Table1[[#This Row],[year]],10)</f>
        <v>2010</v>
      </c>
      <c r="D524" t="s">
        <v>61</v>
      </c>
      <c r="E524" t="s">
        <v>46</v>
      </c>
      <c r="F524">
        <v>1</v>
      </c>
      <c r="G524">
        <v>2</v>
      </c>
      <c r="H524" t="s">
        <v>74</v>
      </c>
      <c r="I524" t="s">
        <v>195</v>
      </c>
      <c r="J524" t="s">
        <v>209</v>
      </c>
      <c r="K524" t="b">
        <v>1</v>
      </c>
      <c r="L524">
        <v>2018</v>
      </c>
      <c r="M524">
        <v>52787520248.924202</v>
      </c>
      <c r="N524">
        <v>725568717468.00098</v>
      </c>
      <c r="O524">
        <v>1</v>
      </c>
    </row>
    <row r="525" spans="1:15" x14ac:dyDescent="0.3">
      <c r="A525" s="1">
        <v>862</v>
      </c>
      <c r="B525" s="2">
        <v>43274</v>
      </c>
      <c r="C525" s="2">
        <f>_xlfn.FLOOR.MATH([1]!Table1[[#This Row],[year]],10)</f>
        <v>2010</v>
      </c>
      <c r="D525" t="s">
        <v>23</v>
      </c>
      <c r="E525" t="s">
        <v>53</v>
      </c>
      <c r="F525">
        <v>5</v>
      </c>
      <c r="G525">
        <v>2</v>
      </c>
      <c r="H525" t="s">
        <v>74</v>
      </c>
      <c r="I525" t="s">
        <v>193</v>
      </c>
      <c r="J525" t="s">
        <v>209</v>
      </c>
      <c r="K525" t="b">
        <v>1</v>
      </c>
      <c r="L525">
        <v>2018</v>
      </c>
      <c r="M525">
        <v>542638913427.92102</v>
      </c>
      <c r="N525">
        <v>42686504459.801003</v>
      </c>
      <c r="O525">
        <v>1</v>
      </c>
    </row>
    <row r="526" spans="1:15" x14ac:dyDescent="0.3">
      <c r="A526" s="1">
        <v>864</v>
      </c>
      <c r="B526" s="2">
        <v>43274</v>
      </c>
      <c r="C526" s="2">
        <f>_xlfn.FLOOR.MATH([1]!Table1[[#This Row],[year]],10)</f>
        <v>2010</v>
      </c>
      <c r="D526" t="s">
        <v>16</v>
      </c>
      <c r="E526" t="s">
        <v>25</v>
      </c>
      <c r="F526">
        <v>2</v>
      </c>
      <c r="G526">
        <v>1</v>
      </c>
      <c r="H526" t="s">
        <v>74</v>
      </c>
      <c r="I526" t="s">
        <v>191</v>
      </c>
      <c r="J526" t="s">
        <v>209</v>
      </c>
      <c r="K526" t="b">
        <v>1</v>
      </c>
      <c r="L526">
        <v>2018</v>
      </c>
      <c r="M526">
        <v>4055433215301.96</v>
      </c>
      <c r="N526">
        <v>549649344043.18201</v>
      </c>
      <c r="O526">
        <v>1</v>
      </c>
    </row>
    <row r="527" spans="1:15" x14ac:dyDescent="0.3">
      <c r="A527" s="1">
        <v>865</v>
      </c>
      <c r="B527" s="2">
        <v>43275</v>
      </c>
      <c r="C527" s="2">
        <f>_xlfn.FLOOR.MATH([1]!Table1[[#This Row],[year]],10)</f>
        <v>2010</v>
      </c>
      <c r="D527" t="s">
        <v>207</v>
      </c>
      <c r="E527" t="s">
        <v>67</v>
      </c>
      <c r="F527">
        <v>6</v>
      </c>
      <c r="G527">
        <v>1</v>
      </c>
      <c r="H527" t="s">
        <v>74</v>
      </c>
      <c r="I527" t="s">
        <v>199</v>
      </c>
      <c r="J527" t="s">
        <v>209</v>
      </c>
      <c r="K527" t="b">
        <v>1</v>
      </c>
      <c r="L527">
        <v>2018</v>
      </c>
      <c r="M527">
        <v>2897028009916.0498</v>
      </c>
      <c r="N527">
        <v>67316471181.248802</v>
      </c>
      <c r="O527">
        <v>1</v>
      </c>
    </row>
    <row r="528" spans="1:15" x14ac:dyDescent="0.3">
      <c r="A528" s="1">
        <v>866</v>
      </c>
      <c r="B528" s="2">
        <v>43275</v>
      </c>
      <c r="C528" s="2">
        <f>_xlfn.FLOOR.MATH([1]!Table1[[#This Row],[year]],10)</f>
        <v>2010</v>
      </c>
      <c r="D528" t="s">
        <v>51</v>
      </c>
      <c r="E528" t="s">
        <v>54</v>
      </c>
      <c r="F528">
        <v>2</v>
      </c>
      <c r="G528">
        <v>2</v>
      </c>
      <c r="H528" t="s">
        <v>74</v>
      </c>
      <c r="I528" t="s">
        <v>198</v>
      </c>
      <c r="J528" t="s">
        <v>209</v>
      </c>
      <c r="K528" t="b">
        <v>1</v>
      </c>
      <c r="L528">
        <v>2018</v>
      </c>
      <c r="M528">
        <v>5040880939324.8604</v>
      </c>
      <c r="N528">
        <v>23116701556.1381</v>
      </c>
      <c r="O528">
        <v>0</v>
      </c>
    </row>
    <row r="529" spans="1:15" x14ac:dyDescent="0.3">
      <c r="A529" s="1">
        <v>867</v>
      </c>
      <c r="B529" s="2">
        <v>43275</v>
      </c>
      <c r="C529" s="2">
        <f>_xlfn.FLOOR.MATH([1]!Table1[[#This Row],[year]],10)</f>
        <v>2010</v>
      </c>
      <c r="D529" t="s">
        <v>58</v>
      </c>
      <c r="E529" t="s">
        <v>15</v>
      </c>
      <c r="F529">
        <v>0</v>
      </c>
      <c r="G529">
        <v>3</v>
      </c>
      <c r="H529" t="s">
        <v>74</v>
      </c>
      <c r="I529" t="s">
        <v>192</v>
      </c>
      <c r="J529" t="s">
        <v>209</v>
      </c>
      <c r="K529" t="b">
        <v>1</v>
      </c>
      <c r="L529">
        <v>2018</v>
      </c>
      <c r="M529">
        <v>594616687350.01697</v>
      </c>
      <c r="N529">
        <v>334198218098.276</v>
      </c>
      <c r="O529">
        <v>-1</v>
      </c>
    </row>
    <row r="530" spans="1:15" x14ac:dyDescent="0.3">
      <c r="A530" s="1">
        <v>869</v>
      </c>
      <c r="B530" s="2">
        <v>43276</v>
      </c>
      <c r="C530" s="2">
        <f>_xlfn.FLOOR.MATH([1]!Table1[[#This Row],[year]],10)</f>
        <v>2010</v>
      </c>
      <c r="D530" t="s">
        <v>45</v>
      </c>
      <c r="E530" t="s">
        <v>228</v>
      </c>
      <c r="F530">
        <v>2</v>
      </c>
      <c r="G530">
        <v>1</v>
      </c>
      <c r="H530" t="s">
        <v>74</v>
      </c>
      <c r="I530" t="s">
        <v>201</v>
      </c>
      <c r="J530" t="s">
        <v>209</v>
      </c>
      <c r="K530" t="b">
        <v>1</v>
      </c>
      <c r="L530">
        <v>2018</v>
      </c>
      <c r="M530">
        <v>886564800000</v>
      </c>
      <c r="N530">
        <v>262588632526.73001</v>
      </c>
      <c r="O530">
        <v>1</v>
      </c>
    </row>
    <row r="531" spans="1:15" x14ac:dyDescent="0.3">
      <c r="A531" s="1">
        <v>870</v>
      </c>
      <c r="B531" s="2">
        <v>43276</v>
      </c>
      <c r="C531" s="2">
        <f>_xlfn.FLOOR.MATH([1]!Table1[[#This Row],[year]],10)</f>
        <v>2010</v>
      </c>
      <c r="D531" t="s">
        <v>21</v>
      </c>
      <c r="E531" t="s">
        <v>24</v>
      </c>
      <c r="F531">
        <v>2</v>
      </c>
      <c r="G531">
        <v>2</v>
      </c>
      <c r="H531" t="s">
        <v>74</v>
      </c>
      <c r="I531" t="s">
        <v>195</v>
      </c>
      <c r="J531" t="s">
        <v>209</v>
      </c>
      <c r="K531" t="b">
        <v>1</v>
      </c>
      <c r="L531">
        <v>2018</v>
      </c>
      <c r="M531">
        <v>1431642809327.0601</v>
      </c>
      <c r="N531">
        <v>127341147581.81799</v>
      </c>
      <c r="O531">
        <v>0</v>
      </c>
    </row>
    <row r="532" spans="1:15" x14ac:dyDescent="0.3">
      <c r="A532" s="1">
        <v>871</v>
      </c>
      <c r="B532" s="2">
        <v>43276</v>
      </c>
      <c r="C532" s="2">
        <f>_xlfn.FLOOR.MATH([1]!Table1[[#This Row],[year]],10)</f>
        <v>2010</v>
      </c>
      <c r="D532" t="s">
        <v>225</v>
      </c>
      <c r="E532" t="s">
        <v>38</v>
      </c>
      <c r="F532">
        <v>1</v>
      </c>
      <c r="G532">
        <v>1</v>
      </c>
      <c r="H532" t="s">
        <v>74</v>
      </c>
      <c r="I532" t="s">
        <v>194</v>
      </c>
      <c r="J532" t="s">
        <v>209</v>
      </c>
      <c r="K532" t="b">
        <v>1</v>
      </c>
      <c r="L532">
        <v>2018</v>
      </c>
      <c r="M532">
        <v>411903303606.04401</v>
      </c>
      <c r="N532">
        <v>242092894542.888</v>
      </c>
      <c r="O532">
        <v>0</v>
      </c>
    </row>
    <row r="533" spans="1:15" x14ac:dyDescent="0.3">
      <c r="A533" s="1">
        <v>872</v>
      </c>
      <c r="B533" s="2">
        <v>43277</v>
      </c>
      <c r="C533" s="2">
        <f>_xlfn.FLOOR.MATH([1]!Table1[[#This Row],[year]],10)</f>
        <v>2010</v>
      </c>
      <c r="D533" t="s">
        <v>28</v>
      </c>
      <c r="E533" t="s">
        <v>31</v>
      </c>
      <c r="F533">
        <v>0</v>
      </c>
      <c r="G533">
        <v>2</v>
      </c>
      <c r="H533" t="s">
        <v>74</v>
      </c>
      <c r="I533" t="s">
        <v>191</v>
      </c>
      <c r="J533" t="s">
        <v>209</v>
      </c>
      <c r="K533" t="b">
        <v>1</v>
      </c>
      <c r="L533">
        <v>2018</v>
      </c>
      <c r="M533">
        <v>1433144978761.6699</v>
      </c>
      <c r="N533">
        <v>222597009739.23499</v>
      </c>
      <c r="O533">
        <v>-1</v>
      </c>
    </row>
    <row r="534" spans="1:15" x14ac:dyDescent="0.3">
      <c r="A534" s="1">
        <v>873</v>
      </c>
      <c r="B534" s="2">
        <v>43277</v>
      </c>
      <c r="C534" s="2">
        <f>_xlfn.FLOOR.MATH([1]!Table1[[#This Row],[year]],10)</f>
        <v>2010</v>
      </c>
      <c r="D534" t="s">
        <v>36</v>
      </c>
      <c r="E534" t="s">
        <v>20</v>
      </c>
      <c r="F534">
        <v>0</v>
      </c>
      <c r="G534">
        <v>0</v>
      </c>
      <c r="H534" t="s">
        <v>74</v>
      </c>
      <c r="I534" t="s">
        <v>193</v>
      </c>
      <c r="J534" t="s">
        <v>209</v>
      </c>
      <c r="K534" t="b">
        <v>1</v>
      </c>
      <c r="L534">
        <v>2018</v>
      </c>
      <c r="M534">
        <v>355293374912.39301</v>
      </c>
      <c r="N534">
        <v>2781576320884.3901</v>
      </c>
      <c r="O534">
        <v>0</v>
      </c>
    </row>
    <row r="535" spans="1:15" x14ac:dyDescent="0.3">
      <c r="A535" s="1">
        <v>874</v>
      </c>
      <c r="B535" s="2">
        <v>43277</v>
      </c>
      <c r="C535" s="2">
        <f>_xlfn.FLOOR.MATH([1]!Table1[[#This Row],[year]],10)</f>
        <v>2010</v>
      </c>
      <c r="D535" t="s">
        <v>43</v>
      </c>
      <c r="E535" t="s">
        <v>19</v>
      </c>
      <c r="F535">
        <v>1</v>
      </c>
      <c r="G535">
        <v>2</v>
      </c>
      <c r="H535" t="s">
        <v>74</v>
      </c>
      <c r="I535" t="s">
        <v>200</v>
      </c>
      <c r="J535" t="s">
        <v>209</v>
      </c>
      <c r="K535" t="b">
        <v>1</v>
      </c>
      <c r="L535">
        <v>2018</v>
      </c>
      <c r="M535">
        <v>421739251509.08002</v>
      </c>
      <c r="N535">
        <v>524819892360.17603</v>
      </c>
      <c r="O535">
        <v>1</v>
      </c>
    </row>
    <row r="536" spans="1:15" x14ac:dyDescent="0.3">
      <c r="A536" s="1">
        <v>875</v>
      </c>
      <c r="B536" s="2">
        <v>43277</v>
      </c>
      <c r="C536" s="2">
        <f>_xlfn.FLOOR.MATH([1]!Table1[[#This Row],[year]],10)</f>
        <v>2010</v>
      </c>
      <c r="D536" t="s">
        <v>66</v>
      </c>
      <c r="E536" t="s">
        <v>52</v>
      </c>
      <c r="F536">
        <v>1</v>
      </c>
      <c r="G536">
        <v>2</v>
      </c>
      <c r="H536" t="s">
        <v>74</v>
      </c>
      <c r="I536" t="s">
        <v>197</v>
      </c>
      <c r="J536" t="s">
        <v>209</v>
      </c>
      <c r="K536" t="b">
        <v>1</v>
      </c>
      <c r="L536">
        <v>2018</v>
      </c>
      <c r="M536">
        <v>26677652544.349899</v>
      </c>
      <c r="N536">
        <v>61667925219.0755</v>
      </c>
      <c r="O536">
        <v>1</v>
      </c>
    </row>
    <row r="537" spans="1:15" x14ac:dyDescent="0.3">
      <c r="A537" s="1">
        <v>877</v>
      </c>
      <c r="B537" s="2">
        <v>43278</v>
      </c>
      <c r="C537" s="2">
        <f>_xlfn.FLOOR.MATH([1]!Table1[[#This Row],[year]],10)</f>
        <v>2010</v>
      </c>
      <c r="D537" t="s">
        <v>17</v>
      </c>
      <c r="E537" t="s">
        <v>25</v>
      </c>
      <c r="F537">
        <v>0</v>
      </c>
      <c r="G537">
        <v>3</v>
      </c>
      <c r="H537" t="s">
        <v>74</v>
      </c>
      <c r="I537" t="s">
        <v>198</v>
      </c>
      <c r="J537" t="s">
        <v>209</v>
      </c>
      <c r="K537" t="b">
        <v>1</v>
      </c>
      <c r="L537">
        <v>2018</v>
      </c>
      <c r="M537">
        <v>1256300182879.73</v>
      </c>
      <c r="N537">
        <v>549649344043.18201</v>
      </c>
      <c r="O537">
        <v>-1</v>
      </c>
    </row>
    <row r="538" spans="1:15" x14ac:dyDescent="0.3">
      <c r="A538" s="1">
        <v>878</v>
      </c>
      <c r="B538" s="2">
        <v>43278</v>
      </c>
      <c r="C538" s="2">
        <f>_xlfn.FLOOR.MATH([1]!Table1[[#This Row],[year]],10)</f>
        <v>2010</v>
      </c>
      <c r="D538" t="s">
        <v>61</v>
      </c>
      <c r="E538" t="s">
        <v>13</v>
      </c>
      <c r="F538">
        <v>0</v>
      </c>
      <c r="G538">
        <v>2</v>
      </c>
      <c r="H538" t="s">
        <v>74</v>
      </c>
      <c r="I538" t="s">
        <v>193</v>
      </c>
      <c r="J538" t="s">
        <v>209</v>
      </c>
      <c r="K538" t="b">
        <v>1</v>
      </c>
      <c r="L538">
        <v>2018</v>
      </c>
      <c r="M538">
        <v>52787520248.924202</v>
      </c>
      <c r="N538">
        <v>1916933708352.71</v>
      </c>
      <c r="O538">
        <v>1</v>
      </c>
    </row>
    <row r="539" spans="1:15" x14ac:dyDescent="0.3">
      <c r="A539" s="1">
        <v>879</v>
      </c>
      <c r="B539" s="2">
        <v>43278</v>
      </c>
      <c r="C539" s="2">
        <f>_xlfn.FLOOR.MATH([1]!Table1[[#This Row],[year]],10)</f>
        <v>2010</v>
      </c>
      <c r="D539" t="s">
        <v>46</v>
      </c>
      <c r="E539" t="s">
        <v>56</v>
      </c>
      <c r="F539">
        <v>2</v>
      </c>
      <c r="G539">
        <v>2</v>
      </c>
      <c r="H539" t="s">
        <v>74</v>
      </c>
      <c r="I539" t="s">
        <v>199</v>
      </c>
      <c r="J539" t="s">
        <v>209</v>
      </c>
      <c r="K539" t="b">
        <v>1</v>
      </c>
      <c r="L539">
        <v>2018</v>
      </c>
      <c r="M539">
        <v>725568717468.00098</v>
      </c>
      <c r="N539">
        <v>62420164991.537399</v>
      </c>
      <c r="O539">
        <v>0</v>
      </c>
    </row>
    <row r="540" spans="1:15" x14ac:dyDescent="0.3">
      <c r="A540" s="1">
        <v>880</v>
      </c>
      <c r="B540" s="2">
        <v>43279</v>
      </c>
      <c r="C540" s="2">
        <f>_xlfn.FLOOR.MATH([1]!Table1[[#This Row],[year]],10)</f>
        <v>2010</v>
      </c>
      <c r="D540" t="s">
        <v>51</v>
      </c>
      <c r="E540" t="s">
        <v>58</v>
      </c>
      <c r="F540">
        <v>0</v>
      </c>
      <c r="G540">
        <v>1</v>
      </c>
      <c r="H540" t="s">
        <v>74</v>
      </c>
      <c r="I540" t="s">
        <v>201</v>
      </c>
      <c r="J540" t="s">
        <v>209</v>
      </c>
      <c r="K540" t="b">
        <v>1</v>
      </c>
      <c r="L540">
        <v>2018</v>
      </c>
      <c r="M540">
        <v>5040880939324.8604</v>
      </c>
      <c r="N540">
        <v>594616687350.01697</v>
      </c>
      <c r="O540">
        <v>-1</v>
      </c>
    </row>
    <row r="541" spans="1:15" x14ac:dyDescent="0.3">
      <c r="A541" s="1">
        <v>881</v>
      </c>
      <c r="B541" s="2">
        <v>43279</v>
      </c>
      <c r="C541" s="2">
        <f>_xlfn.FLOOR.MATH([1]!Table1[[#This Row],[year]],10)</f>
        <v>2010</v>
      </c>
      <c r="D541" t="s">
        <v>54</v>
      </c>
      <c r="E541" t="s">
        <v>15</v>
      </c>
      <c r="F541">
        <v>0</v>
      </c>
      <c r="G541">
        <v>1</v>
      </c>
      <c r="H541" t="s">
        <v>74</v>
      </c>
      <c r="I541" t="s">
        <v>196</v>
      </c>
      <c r="J541" t="s">
        <v>209</v>
      </c>
      <c r="K541" t="b">
        <v>1</v>
      </c>
      <c r="L541">
        <v>2018</v>
      </c>
      <c r="M541">
        <v>23116701556.1381</v>
      </c>
      <c r="N541">
        <v>334198218098.276</v>
      </c>
      <c r="O541">
        <v>1</v>
      </c>
    </row>
    <row r="542" spans="1:15" x14ac:dyDescent="0.3">
      <c r="A542" s="1">
        <v>882</v>
      </c>
      <c r="B542" s="2">
        <v>43279</v>
      </c>
      <c r="C542" s="2">
        <f>_xlfn.FLOOR.MATH([1]!Table1[[#This Row],[year]],10)</f>
        <v>2010</v>
      </c>
      <c r="D542" t="s">
        <v>67</v>
      </c>
      <c r="E542" t="s">
        <v>53</v>
      </c>
      <c r="F542">
        <v>1</v>
      </c>
      <c r="G542">
        <v>2</v>
      </c>
      <c r="H542" t="s">
        <v>74</v>
      </c>
      <c r="I542" t="s">
        <v>194</v>
      </c>
      <c r="J542" t="s">
        <v>209</v>
      </c>
      <c r="K542" t="b">
        <v>1</v>
      </c>
      <c r="L542">
        <v>2018</v>
      </c>
      <c r="M542">
        <v>67316471181.248802</v>
      </c>
      <c r="N542">
        <v>42686504459.801003</v>
      </c>
      <c r="O542">
        <v>-1</v>
      </c>
    </row>
    <row r="543" spans="1:15" x14ac:dyDescent="0.3">
      <c r="A543" s="1">
        <v>883</v>
      </c>
      <c r="B543" s="2">
        <v>43279</v>
      </c>
      <c r="C543" s="2">
        <f>_xlfn.FLOOR.MATH([1]!Table1[[#This Row],[year]],10)</f>
        <v>2010</v>
      </c>
      <c r="D543" t="s">
        <v>207</v>
      </c>
      <c r="E543" t="s">
        <v>23</v>
      </c>
      <c r="F543">
        <v>0</v>
      </c>
      <c r="G543">
        <v>1</v>
      </c>
      <c r="H543" t="s">
        <v>74</v>
      </c>
      <c r="I543" t="s">
        <v>195</v>
      </c>
      <c r="J543" t="s">
        <v>209</v>
      </c>
      <c r="K543" t="b">
        <v>1</v>
      </c>
      <c r="L543">
        <v>2018</v>
      </c>
      <c r="M543">
        <v>2897028009916.0498</v>
      </c>
      <c r="N543">
        <v>542638913427.92102</v>
      </c>
      <c r="O543">
        <v>-1</v>
      </c>
    </row>
    <row r="544" spans="1:15" x14ac:dyDescent="0.3">
      <c r="A544" s="1">
        <v>884</v>
      </c>
      <c r="B544" s="2">
        <v>43281</v>
      </c>
      <c r="C544" s="2">
        <f>_xlfn.FLOOR.MATH([1]!Table1[[#This Row],[year]],10)</f>
        <v>2010</v>
      </c>
      <c r="D544" t="s">
        <v>20</v>
      </c>
      <c r="E544" t="s">
        <v>19</v>
      </c>
      <c r="F544">
        <v>4</v>
      </c>
      <c r="G544">
        <v>3</v>
      </c>
      <c r="H544" t="s">
        <v>74</v>
      </c>
      <c r="I544" t="s">
        <v>192</v>
      </c>
      <c r="J544" t="s">
        <v>209</v>
      </c>
      <c r="K544" t="b">
        <v>1</v>
      </c>
      <c r="L544">
        <v>2018</v>
      </c>
      <c r="M544">
        <v>2781576320884.3901</v>
      </c>
      <c r="N544">
        <v>524819892360.17603</v>
      </c>
      <c r="O544">
        <v>1</v>
      </c>
    </row>
    <row r="545" spans="1:15" x14ac:dyDescent="0.3">
      <c r="A545" s="1">
        <v>885</v>
      </c>
      <c r="B545" s="2">
        <v>43281</v>
      </c>
      <c r="C545" s="2">
        <f>_xlfn.FLOOR.MATH([1]!Table1[[#This Row],[year]],10)</f>
        <v>2010</v>
      </c>
      <c r="D545" t="s">
        <v>26</v>
      </c>
      <c r="E545" t="s">
        <v>38</v>
      </c>
      <c r="F545">
        <v>2</v>
      </c>
      <c r="G545">
        <v>1</v>
      </c>
      <c r="H545" t="s">
        <v>74</v>
      </c>
      <c r="I545" t="s">
        <v>191</v>
      </c>
      <c r="J545" t="s">
        <v>209</v>
      </c>
      <c r="K545" t="b">
        <v>1</v>
      </c>
      <c r="L545">
        <v>2018</v>
      </c>
      <c r="M545">
        <v>65344577415.753502</v>
      </c>
      <c r="N545">
        <v>242092894542.888</v>
      </c>
      <c r="O545">
        <v>-1</v>
      </c>
    </row>
    <row r="546" spans="1:15" x14ac:dyDescent="0.3">
      <c r="A546" s="1">
        <v>887</v>
      </c>
      <c r="B546" s="2">
        <v>43282</v>
      </c>
      <c r="C546" s="2">
        <f>_xlfn.FLOOR.MATH([1]!Table1[[#This Row],[year]],10)</f>
        <v>2010</v>
      </c>
      <c r="D546" t="s">
        <v>52</v>
      </c>
      <c r="E546" t="s">
        <v>36</v>
      </c>
      <c r="F546">
        <v>1</v>
      </c>
      <c r="G546">
        <v>1</v>
      </c>
      <c r="H546" t="s">
        <v>74</v>
      </c>
      <c r="I546" t="s">
        <v>199</v>
      </c>
      <c r="J546" t="s">
        <v>209</v>
      </c>
      <c r="K546" t="b">
        <v>1</v>
      </c>
      <c r="L546">
        <v>2018</v>
      </c>
      <c r="M546">
        <v>61667925219.0755</v>
      </c>
      <c r="N546">
        <v>355293374912.39301</v>
      </c>
      <c r="O546">
        <v>0</v>
      </c>
    </row>
    <row r="547" spans="1:15" x14ac:dyDescent="0.3">
      <c r="A547" s="1">
        <v>888</v>
      </c>
      <c r="B547" s="2">
        <v>43283</v>
      </c>
      <c r="C547" s="2">
        <f>_xlfn.FLOOR.MATH([1]!Table1[[#This Row],[year]],10)</f>
        <v>2010</v>
      </c>
      <c r="D547" t="s">
        <v>13</v>
      </c>
      <c r="E547" t="s">
        <v>17</v>
      </c>
      <c r="F547">
        <v>2</v>
      </c>
      <c r="G547">
        <v>0</v>
      </c>
      <c r="H547" t="s">
        <v>74</v>
      </c>
      <c r="I547" t="s">
        <v>196</v>
      </c>
      <c r="J547" t="s">
        <v>209</v>
      </c>
      <c r="K547" t="b">
        <v>1</v>
      </c>
      <c r="L547">
        <v>2018</v>
      </c>
      <c r="M547">
        <v>1916933708352.71</v>
      </c>
      <c r="N547">
        <v>1256300182879.73</v>
      </c>
      <c r="O547">
        <v>1</v>
      </c>
    </row>
    <row r="548" spans="1:15" x14ac:dyDescent="0.3">
      <c r="A548" s="1">
        <v>889</v>
      </c>
      <c r="B548" s="2">
        <v>43283</v>
      </c>
      <c r="C548" s="2">
        <f>_xlfn.FLOOR.MATH([1]!Table1[[#This Row],[year]],10)</f>
        <v>2010</v>
      </c>
      <c r="D548" t="s">
        <v>23</v>
      </c>
      <c r="E548" t="s">
        <v>51</v>
      </c>
      <c r="F548">
        <v>3</v>
      </c>
      <c r="G548">
        <v>2</v>
      </c>
      <c r="H548" t="s">
        <v>74</v>
      </c>
      <c r="I548" t="s">
        <v>197</v>
      </c>
      <c r="J548" t="s">
        <v>209</v>
      </c>
      <c r="K548" t="b">
        <v>1</v>
      </c>
      <c r="L548">
        <v>2018</v>
      </c>
      <c r="M548">
        <v>542638913427.92102</v>
      </c>
      <c r="N548">
        <v>5040880939324.8604</v>
      </c>
      <c r="O548">
        <v>-1</v>
      </c>
    </row>
    <row r="549" spans="1:15" x14ac:dyDescent="0.3">
      <c r="A549" s="1">
        <v>890</v>
      </c>
      <c r="B549" s="2">
        <v>43284</v>
      </c>
      <c r="C549" s="2">
        <f>_xlfn.FLOOR.MATH([1]!Table1[[#This Row],[year]],10)</f>
        <v>2010</v>
      </c>
      <c r="D549" t="s">
        <v>25</v>
      </c>
      <c r="E549" t="s">
        <v>46</v>
      </c>
      <c r="F549">
        <v>1</v>
      </c>
      <c r="G549">
        <v>0</v>
      </c>
      <c r="H549" t="s">
        <v>74</v>
      </c>
      <c r="I549" t="s">
        <v>200</v>
      </c>
      <c r="J549" t="s">
        <v>209</v>
      </c>
      <c r="K549" t="b">
        <v>1</v>
      </c>
      <c r="L549">
        <v>2018</v>
      </c>
      <c r="M549">
        <v>549649344043.18201</v>
      </c>
      <c r="N549">
        <v>725568717468.00098</v>
      </c>
      <c r="O549">
        <v>-1</v>
      </c>
    </row>
    <row r="550" spans="1:15" x14ac:dyDescent="0.3">
      <c r="A550" s="1">
        <v>891</v>
      </c>
      <c r="B550" s="2">
        <v>43284</v>
      </c>
      <c r="C550" s="2">
        <f>_xlfn.FLOOR.MATH([1]!Table1[[#This Row],[year]],10)</f>
        <v>2010</v>
      </c>
      <c r="D550" t="s">
        <v>15</v>
      </c>
      <c r="E550" t="s">
        <v>207</v>
      </c>
      <c r="F550">
        <v>1</v>
      </c>
      <c r="G550">
        <v>1</v>
      </c>
      <c r="H550" t="s">
        <v>74</v>
      </c>
      <c r="I550" t="s">
        <v>193</v>
      </c>
      <c r="J550" t="s">
        <v>209</v>
      </c>
      <c r="K550" t="b">
        <v>1</v>
      </c>
      <c r="L550">
        <v>2018</v>
      </c>
      <c r="M550">
        <v>334198218098.276</v>
      </c>
      <c r="N550">
        <v>2897028009916.0498</v>
      </c>
      <c r="O550">
        <v>0</v>
      </c>
    </row>
    <row r="551" spans="1:15" x14ac:dyDescent="0.3">
      <c r="A551" s="1">
        <v>892</v>
      </c>
      <c r="B551" s="2">
        <v>43287</v>
      </c>
      <c r="C551" s="2">
        <f>_xlfn.FLOOR.MATH([1]!Table1[[#This Row],[year]],10)</f>
        <v>2010</v>
      </c>
      <c r="D551" t="s">
        <v>26</v>
      </c>
      <c r="E551" t="s">
        <v>20</v>
      </c>
      <c r="F551">
        <v>0</v>
      </c>
      <c r="G551">
        <v>2</v>
      </c>
      <c r="H551" t="s">
        <v>74</v>
      </c>
      <c r="I551" t="s">
        <v>199</v>
      </c>
      <c r="J551" t="s">
        <v>209</v>
      </c>
      <c r="K551" t="b">
        <v>1</v>
      </c>
      <c r="L551">
        <v>2018</v>
      </c>
      <c r="M551">
        <v>65344577415.753502</v>
      </c>
      <c r="N551">
        <v>2781576320884.3901</v>
      </c>
      <c r="O551">
        <v>1</v>
      </c>
    </row>
    <row r="552" spans="1:15" x14ac:dyDescent="0.3">
      <c r="A552" s="1">
        <v>893</v>
      </c>
      <c r="B552" s="2">
        <v>43287</v>
      </c>
      <c r="C552" s="2">
        <f>_xlfn.FLOOR.MATH([1]!Table1[[#This Row],[year]],10)</f>
        <v>2010</v>
      </c>
      <c r="D552" t="s">
        <v>13</v>
      </c>
      <c r="E552" t="s">
        <v>23</v>
      </c>
      <c r="F552">
        <v>1</v>
      </c>
      <c r="G552">
        <v>2</v>
      </c>
      <c r="H552" t="s">
        <v>74</v>
      </c>
      <c r="I552" t="s">
        <v>192</v>
      </c>
      <c r="J552" t="s">
        <v>209</v>
      </c>
      <c r="K552" t="b">
        <v>1</v>
      </c>
      <c r="L552">
        <v>2018</v>
      </c>
      <c r="M552">
        <v>1916933708352.71</v>
      </c>
      <c r="N552">
        <v>542638913427.92102</v>
      </c>
      <c r="O552">
        <v>-1</v>
      </c>
    </row>
    <row r="553" spans="1:15" x14ac:dyDescent="0.3">
      <c r="A553" s="1">
        <v>894</v>
      </c>
      <c r="B553" s="2">
        <v>43288</v>
      </c>
      <c r="C553" s="2">
        <f>_xlfn.FLOOR.MATH([1]!Table1[[#This Row],[year]],10)</f>
        <v>2010</v>
      </c>
      <c r="D553" t="s">
        <v>25</v>
      </c>
      <c r="E553" t="s">
        <v>207</v>
      </c>
      <c r="F553">
        <v>0</v>
      </c>
      <c r="G553">
        <v>2</v>
      </c>
      <c r="H553" t="s">
        <v>74</v>
      </c>
      <c r="I553" t="s">
        <v>196</v>
      </c>
      <c r="J553" t="s">
        <v>209</v>
      </c>
      <c r="K553" t="b">
        <v>1</v>
      </c>
      <c r="L553">
        <v>2018</v>
      </c>
      <c r="M553">
        <v>549649344043.18201</v>
      </c>
      <c r="N553">
        <v>2897028009916.0498</v>
      </c>
      <c r="O553">
        <v>1</v>
      </c>
    </row>
    <row r="554" spans="1:15" x14ac:dyDescent="0.3">
      <c r="A554" s="1">
        <v>896</v>
      </c>
      <c r="B554" s="2">
        <v>43291</v>
      </c>
      <c r="C554" s="2">
        <f>_xlfn.FLOOR.MATH([1]!Table1[[#This Row],[year]],10)</f>
        <v>2010</v>
      </c>
      <c r="D554" t="s">
        <v>20</v>
      </c>
      <c r="E554" t="s">
        <v>23</v>
      </c>
      <c r="F554">
        <v>1</v>
      </c>
      <c r="G554">
        <v>0</v>
      </c>
      <c r="H554" t="s">
        <v>74</v>
      </c>
      <c r="I554" t="s">
        <v>200</v>
      </c>
      <c r="J554" t="s">
        <v>209</v>
      </c>
      <c r="K554" t="b">
        <v>1</v>
      </c>
      <c r="L554">
        <v>2018</v>
      </c>
      <c r="M554">
        <v>2781576320884.3901</v>
      </c>
      <c r="N554">
        <v>542638913427.92102</v>
      </c>
      <c r="O554">
        <v>1</v>
      </c>
    </row>
    <row r="555" spans="1:15" x14ac:dyDescent="0.3">
      <c r="A555" s="1">
        <v>897</v>
      </c>
      <c r="B555" s="2">
        <v>43292</v>
      </c>
      <c r="C555" s="2">
        <f>_xlfn.FLOOR.MATH([1]!Table1[[#This Row],[year]],10)</f>
        <v>2010</v>
      </c>
      <c r="D555" t="s">
        <v>52</v>
      </c>
      <c r="E555" t="s">
        <v>207</v>
      </c>
      <c r="F555">
        <v>2</v>
      </c>
      <c r="G555">
        <v>1</v>
      </c>
      <c r="H555" t="s">
        <v>74</v>
      </c>
      <c r="I555" t="s">
        <v>193</v>
      </c>
      <c r="J555" t="s">
        <v>209</v>
      </c>
      <c r="K555" t="b">
        <v>1</v>
      </c>
      <c r="L555">
        <v>2018</v>
      </c>
      <c r="M555">
        <v>61667925219.0755</v>
      </c>
      <c r="N555">
        <v>2897028009916.0498</v>
      </c>
      <c r="O555">
        <v>-1</v>
      </c>
    </row>
    <row r="556" spans="1:15" x14ac:dyDescent="0.3">
      <c r="A556" s="1">
        <v>898</v>
      </c>
      <c r="B556" s="2">
        <v>43295</v>
      </c>
      <c r="C556" s="2">
        <f>_xlfn.FLOOR.MATH([1]!Table1[[#This Row],[year]],10)</f>
        <v>2010</v>
      </c>
      <c r="D556" t="s">
        <v>23</v>
      </c>
      <c r="E556" t="s">
        <v>207</v>
      </c>
      <c r="F556">
        <v>2</v>
      </c>
      <c r="G556">
        <v>0</v>
      </c>
      <c r="H556" t="s">
        <v>74</v>
      </c>
      <c r="I556" t="s">
        <v>200</v>
      </c>
      <c r="J556" t="s">
        <v>209</v>
      </c>
      <c r="K556" t="b">
        <v>1</v>
      </c>
      <c r="L556">
        <v>2018</v>
      </c>
      <c r="M556">
        <v>542638913427.92102</v>
      </c>
      <c r="N556">
        <v>2897028009916.0498</v>
      </c>
      <c r="O556">
        <v>-1</v>
      </c>
    </row>
    <row r="557" spans="1:15" x14ac:dyDescent="0.3">
      <c r="A557" s="1">
        <v>899</v>
      </c>
      <c r="B557" s="2">
        <v>43296</v>
      </c>
      <c r="C557" s="2">
        <f>_xlfn.FLOOR.MATH([1]!Table1[[#This Row],[year]],10)</f>
        <v>2010</v>
      </c>
      <c r="D557" t="s">
        <v>20</v>
      </c>
      <c r="E557" t="s">
        <v>52</v>
      </c>
      <c r="F557">
        <v>4</v>
      </c>
      <c r="G557">
        <v>2</v>
      </c>
      <c r="H557" t="s">
        <v>74</v>
      </c>
      <c r="I557" t="s">
        <v>193</v>
      </c>
      <c r="J557" t="s">
        <v>209</v>
      </c>
      <c r="K557" t="b">
        <v>1</v>
      </c>
      <c r="L557">
        <v>2018</v>
      </c>
      <c r="M557">
        <v>2781576320884.3901</v>
      </c>
      <c r="N557">
        <v>61667925219.0755</v>
      </c>
      <c r="O557">
        <v>1</v>
      </c>
    </row>
    <row r="558" spans="1:15" x14ac:dyDescent="0.3">
      <c r="A558" s="1">
        <v>900</v>
      </c>
      <c r="B558" s="2">
        <v>44885</v>
      </c>
      <c r="C558" s="2">
        <f>_xlfn.FLOOR.MATH([1]!Table1[[#This Row],[year]],10)</f>
        <v>2020</v>
      </c>
      <c r="D558" t="s">
        <v>68</v>
      </c>
      <c r="E558" t="s">
        <v>57</v>
      </c>
      <c r="F558">
        <v>0</v>
      </c>
      <c r="G558">
        <v>2</v>
      </c>
      <c r="H558" t="s">
        <v>74</v>
      </c>
      <c r="I558" t="s">
        <v>202</v>
      </c>
      <c r="J558" t="s">
        <v>68</v>
      </c>
      <c r="K558" t="b">
        <v>0</v>
      </c>
      <c r="L558">
        <v>2022</v>
      </c>
      <c r="M558">
        <v>235709340659.341</v>
      </c>
      <c r="N558">
        <v>116133121000</v>
      </c>
      <c r="O558">
        <v>-1</v>
      </c>
    </row>
    <row r="559" spans="1:15" x14ac:dyDescent="0.3">
      <c r="A559" s="1">
        <v>901</v>
      </c>
      <c r="B559" s="2">
        <v>44886</v>
      </c>
      <c r="C559" s="2">
        <f>_xlfn.FLOOR.MATH([1]!Table1[[#This Row],[year]],10)</f>
        <v>2020</v>
      </c>
      <c r="D559" t="s">
        <v>54</v>
      </c>
      <c r="E559" t="s">
        <v>27</v>
      </c>
      <c r="F559">
        <v>0</v>
      </c>
      <c r="G559">
        <v>2</v>
      </c>
      <c r="H559" t="s">
        <v>74</v>
      </c>
      <c r="I559" t="s">
        <v>203</v>
      </c>
      <c r="J559" t="s">
        <v>68</v>
      </c>
      <c r="K559" t="b">
        <v>1</v>
      </c>
      <c r="L559">
        <v>2022</v>
      </c>
      <c r="M559">
        <v>27783332222.6759</v>
      </c>
      <c r="N559">
        <v>1046540797548.64</v>
      </c>
      <c r="O559">
        <v>1</v>
      </c>
    </row>
    <row r="560" spans="1:15" x14ac:dyDescent="0.3">
      <c r="A560" s="1">
        <v>902</v>
      </c>
      <c r="B560" s="2">
        <v>44886</v>
      </c>
      <c r="C560" s="2">
        <f>_xlfn.FLOOR.MATH([1]!Table1[[#This Row],[year]],10)</f>
        <v>2020</v>
      </c>
      <c r="D560" t="s">
        <v>207</v>
      </c>
      <c r="E560" t="s">
        <v>225</v>
      </c>
      <c r="F560">
        <v>6</v>
      </c>
      <c r="G560">
        <v>2</v>
      </c>
      <c r="H560" t="s">
        <v>74</v>
      </c>
      <c r="I560" t="s">
        <v>205</v>
      </c>
      <c r="J560" t="s">
        <v>68</v>
      </c>
      <c r="K560" t="b">
        <v>1</v>
      </c>
      <c r="L560">
        <v>2022</v>
      </c>
      <c r="M560">
        <v>3181244350465.4102</v>
      </c>
      <c r="N560">
        <v>422662261525.66498</v>
      </c>
      <c r="O560">
        <v>1</v>
      </c>
    </row>
    <row r="561" spans="1:15" x14ac:dyDescent="0.3">
      <c r="A561" s="1">
        <v>904</v>
      </c>
      <c r="B561" s="2">
        <v>44887</v>
      </c>
      <c r="C561" s="2">
        <f>_xlfn.FLOOR.MATH([1]!Table1[[#This Row],[year]],10)</f>
        <v>2020</v>
      </c>
      <c r="D561" t="s">
        <v>19</v>
      </c>
      <c r="E561" t="s">
        <v>45</v>
      </c>
      <c r="F561">
        <v>1</v>
      </c>
      <c r="G561">
        <v>2</v>
      </c>
      <c r="H561" t="s">
        <v>74</v>
      </c>
      <c r="I561" t="s">
        <v>204</v>
      </c>
      <c r="J561" t="s">
        <v>68</v>
      </c>
      <c r="K561" t="b">
        <v>1</v>
      </c>
      <c r="L561">
        <v>2022</v>
      </c>
      <c r="M561">
        <v>633993756301.07996</v>
      </c>
      <c r="N561">
        <v>1239075200000</v>
      </c>
      <c r="O561">
        <v>1</v>
      </c>
    </row>
    <row r="562" spans="1:15" x14ac:dyDescent="0.3">
      <c r="A562" s="1">
        <v>905</v>
      </c>
      <c r="B562" s="2">
        <v>44887</v>
      </c>
      <c r="C562" s="2">
        <f>_xlfn.FLOOR.MATH([1]!Table1[[#This Row],[year]],10)</f>
        <v>2020</v>
      </c>
      <c r="D562" t="s">
        <v>17</v>
      </c>
      <c r="E562" t="s">
        <v>58</v>
      </c>
      <c r="F562">
        <v>0</v>
      </c>
      <c r="G562">
        <v>0</v>
      </c>
      <c r="H562" t="s">
        <v>74</v>
      </c>
      <c r="I562" t="s">
        <v>203</v>
      </c>
      <c r="J562" t="s">
        <v>68</v>
      </c>
      <c r="K562" t="b">
        <v>1</v>
      </c>
      <c r="L562">
        <v>2022</v>
      </c>
      <c r="M562">
        <v>1466934724293.0601</v>
      </c>
      <c r="N562">
        <v>695607470875.276</v>
      </c>
      <c r="O562">
        <v>0</v>
      </c>
    </row>
    <row r="563" spans="1:15" x14ac:dyDescent="0.3">
      <c r="A563" s="1">
        <v>906</v>
      </c>
      <c r="B563" s="2">
        <v>44887</v>
      </c>
      <c r="C563" s="2">
        <f>_xlfn.FLOOR.MATH([1]!Table1[[#This Row],[year]],10)</f>
        <v>2020</v>
      </c>
      <c r="D563" t="s">
        <v>36</v>
      </c>
      <c r="E563" t="s">
        <v>53</v>
      </c>
      <c r="F563">
        <v>0</v>
      </c>
      <c r="G563">
        <v>0</v>
      </c>
      <c r="H563" t="s">
        <v>74</v>
      </c>
      <c r="I563" t="s">
        <v>205</v>
      </c>
      <c r="J563" t="s">
        <v>68</v>
      </c>
      <c r="K563" t="b">
        <v>1</v>
      </c>
      <c r="L563">
        <v>2022</v>
      </c>
      <c r="M563">
        <v>400114306337.07703</v>
      </c>
      <c r="N563">
        <v>44929920092.795502</v>
      </c>
      <c r="O563">
        <v>0</v>
      </c>
    </row>
    <row r="564" spans="1:15" x14ac:dyDescent="0.3">
      <c r="A564" s="1">
        <v>907</v>
      </c>
      <c r="B564" s="2">
        <v>44887</v>
      </c>
      <c r="C564" s="2">
        <f>_xlfn.FLOOR.MATH([1]!Table1[[#This Row],[year]],10)</f>
        <v>2020</v>
      </c>
      <c r="D564" t="s">
        <v>20</v>
      </c>
      <c r="E564" t="s">
        <v>28</v>
      </c>
      <c r="F564">
        <v>4</v>
      </c>
      <c r="G564">
        <v>1</v>
      </c>
      <c r="H564" t="s">
        <v>74</v>
      </c>
      <c r="I564" t="s">
        <v>206</v>
      </c>
      <c r="J564" t="s">
        <v>68</v>
      </c>
      <c r="K564" t="b">
        <v>1</v>
      </c>
      <c r="L564">
        <v>2022</v>
      </c>
      <c r="M564">
        <v>2794788137066.9399</v>
      </c>
      <c r="N564">
        <v>1695627535475.8</v>
      </c>
      <c r="O564">
        <v>1</v>
      </c>
    </row>
    <row r="565" spans="1:15" x14ac:dyDescent="0.3">
      <c r="A565" s="1">
        <v>908</v>
      </c>
      <c r="B565" s="2">
        <v>44888</v>
      </c>
      <c r="C565" s="2">
        <f>_xlfn.FLOOR.MATH([1]!Table1[[#This Row],[year]],10)</f>
        <v>2020</v>
      </c>
      <c r="D565" t="s">
        <v>16</v>
      </c>
      <c r="E565" t="s">
        <v>51</v>
      </c>
      <c r="F565">
        <v>1</v>
      </c>
      <c r="G565">
        <v>2</v>
      </c>
      <c r="H565" t="s">
        <v>74</v>
      </c>
      <c r="I565" t="s">
        <v>205</v>
      </c>
      <c r="J565" t="s">
        <v>68</v>
      </c>
      <c r="K565" t="b">
        <v>1</v>
      </c>
      <c r="L565">
        <v>2022</v>
      </c>
      <c r="M565">
        <v>4201021706478.6201</v>
      </c>
      <c r="N565">
        <v>4262463317796.5298</v>
      </c>
      <c r="O565">
        <v>1</v>
      </c>
    </row>
    <row r="566" spans="1:15" x14ac:dyDescent="0.3">
      <c r="A566" s="1">
        <v>909</v>
      </c>
      <c r="B566" s="2">
        <v>44888</v>
      </c>
      <c r="C566" s="2">
        <f>_xlfn.FLOOR.MATH([1]!Table1[[#This Row],[year]],10)</f>
        <v>2020</v>
      </c>
      <c r="D566" t="s">
        <v>21</v>
      </c>
      <c r="E566" t="s">
        <v>56</v>
      </c>
      <c r="F566">
        <v>7</v>
      </c>
      <c r="G566">
        <v>0</v>
      </c>
      <c r="H566" t="s">
        <v>74</v>
      </c>
      <c r="I566" t="s">
        <v>203</v>
      </c>
      <c r="J566" t="s">
        <v>68</v>
      </c>
      <c r="K566" t="b">
        <v>1</v>
      </c>
      <c r="L566">
        <v>2022</v>
      </c>
      <c r="M566">
        <v>1448850658406.6201</v>
      </c>
      <c r="N566">
        <v>69243626028.593597</v>
      </c>
      <c r="O566">
        <v>1</v>
      </c>
    </row>
    <row r="567" spans="1:15" x14ac:dyDescent="0.3">
      <c r="A567" s="1">
        <v>910</v>
      </c>
      <c r="B567" s="2">
        <v>44888</v>
      </c>
      <c r="C567" s="2">
        <f>_xlfn.FLOOR.MATH([1]!Table1[[#This Row],[year]],10)</f>
        <v>2020</v>
      </c>
      <c r="D567" t="s">
        <v>24</v>
      </c>
      <c r="E567" t="s">
        <v>52</v>
      </c>
      <c r="F567">
        <v>0</v>
      </c>
      <c r="G567">
        <v>0</v>
      </c>
      <c r="H567" t="s">
        <v>74</v>
      </c>
      <c r="I567" t="s">
        <v>202</v>
      </c>
      <c r="J567" t="s">
        <v>68</v>
      </c>
      <c r="K567" t="b">
        <v>1</v>
      </c>
      <c r="L567">
        <v>2022</v>
      </c>
      <c r="M567">
        <v>131245312804.483</v>
      </c>
      <c r="N567">
        <v>71196498671.114502</v>
      </c>
      <c r="O567">
        <v>0</v>
      </c>
    </row>
    <row r="568" spans="1:15" x14ac:dyDescent="0.3">
      <c r="A568" s="1">
        <v>911</v>
      </c>
      <c r="B568" s="2">
        <v>44888</v>
      </c>
      <c r="C568" s="2">
        <f>_xlfn.FLOOR.MATH([1]!Table1[[#This Row],[year]],10)</f>
        <v>2020</v>
      </c>
      <c r="D568" t="s">
        <v>23</v>
      </c>
      <c r="E568" t="s">
        <v>34</v>
      </c>
      <c r="F568">
        <v>1</v>
      </c>
      <c r="G568">
        <v>0</v>
      </c>
      <c r="H568" t="s">
        <v>74</v>
      </c>
      <c r="I568" t="s">
        <v>205</v>
      </c>
      <c r="J568" t="s">
        <v>68</v>
      </c>
      <c r="K568" t="b">
        <v>1</v>
      </c>
      <c r="L568">
        <v>2022</v>
      </c>
      <c r="M568">
        <v>591085783326.26697</v>
      </c>
      <c r="N568">
        <v>2190411080134.3201</v>
      </c>
      <c r="O568">
        <v>-1</v>
      </c>
    </row>
    <row r="569" spans="1:15" x14ac:dyDescent="0.3">
      <c r="A569" s="1">
        <v>912</v>
      </c>
      <c r="B569" s="2">
        <v>44889</v>
      </c>
      <c r="C569" s="2">
        <f>_xlfn.FLOOR.MATH([1]!Table1[[#This Row],[year]],10)</f>
        <v>2020</v>
      </c>
      <c r="D569" t="s">
        <v>46</v>
      </c>
      <c r="E569" t="s">
        <v>40</v>
      </c>
      <c r="F569">
        <v>1</v>
      </c>
      <c r="G569">
        <v>0</v>
      </c>
      <c r="H569" t="s">
        <v>74</v>
      </c>
      <c r="I569" t="s">
        <v>206</v>
      </c>
      <c r="J569" t="s">
        <v>68</v>
      </c>
      <c r="K569" t="b">
        <v>1</v>
      </c>
      <c r="L569">
        <v>2022</v>
      </c>
      <c r="M569">
        <v>828508926958.39294</v>
      </c>
      <c r="N569">
        <v>44347206072.5513</v>
      </c>
      <c r="O569">
        <v>1</v>
      </c>
    </row>
    <row r="570" spans="1:15" x14ac:dyDescent="0.3">
      <c r="A570" s="1">
        <v>913</v>
      </c>
      <c r="B570" s="2">
        <v>44889</v>
      </c>
      <c r="C570" s="2">
        <f>_xlfn.FLOOR.MATH([1]!Table1[[#This Row],[year]],10)</f>
        <v>2020</v>
      </c>
      <c r="D570" t="s">
        <v>13</v>
      </c>
      <c r="E570" t="s">
        <v>61</v>
      </c>
      <c r="F570">
        <v>2</v>
      </c>
      <c r="G570">
        <v>0</v>
      </c>
      <c r="H570" t="s">
        <v>74</v>
      </c>
      <c r="I570" t="s">
        <v>204</v>
      </c>
      <c r="J570" t="s">
        <v>68</v>
      </c>
      <c r="K570" t="b">
        <v>1</v>
      </c>
      <c r="L570">
        <v>2022</v>
      </c>
      <c r="M570">
        <v>1951923832083.8701</v>
      </c>
      <c r="N570">
        <v>66809895701.215202</v>
      </c>
      <c r="O570">
        <v>1</v>
      </c>
    </row>
    <row r="571" spans="1:15" x14ac:dyDescent="0.3">
      <c r="A571" s="1">
        <v>915</v>
      </c>
      <c r="B571" s="2">
        <v>44889</v>
      </c>
      <c r="C571" s="2">
        <f>_xlfn.FLOOR.MATH([1]!Table1[[#This Row],[year]],10)</f>
        <v>2020</v>
      </c>
      <c r="D571" t="s">
        <v>38</v>
      </c>
      <c r="E571" t="s">
        <v>63</v>
      </c>
      <c r="F571">
        <v>3</v>
      </c>
      <c r="G571">
        <v>2</v>
      </c>
      <c r="H571" t="s">
        <v>74</v>
      </c>
      <c r="I571" t="s">
        <v>203</v>
      </c>
      <c r="J571" t="s">
        <v>68</v>
      </c>
      <c r="K571" t="b">
        <v>1</v>
      </c>
      <c r="L571">
        <v>2022</v>
      </c>
      <c r="M571">
        <v>256898677175.02399</v>
      </c>
      <c r="N571">
        <v>73919003209.986603</v>
      </c>
      <c r="O571">
        <v>1</v>
      </c>
    </row>
    <row r="572" spans="1:15" x14ac:dyDescent="0.3">
      <c r="A572" s="1">
        <v>916</v>
      </c>
      <c r="B572" s="2">
        <v>44890</v>
      </c>
      <c r="C572" s="2">
        <f>_xlfn.FLOOR.MATH([1]!Table1[[#This Row],[year]],10)</f>
        <v>2020</v>
      </c>
      <c r="D572" t="s">
        <v>68</v>
      </c>
      <c r="E572" t="s">
        <v>54</v>
      </c>
      <c r="F572">
        <v>1</v>
      </c>
      <c r="G572">
        <v>3</v>
      </c>
      <c r="H572" t="s">
        <v>74</v>
      </c>
      <c r="I572" t="s">
        <v>203</v>
      </c>
      <c r="J572" t="s">
        <v>68</v>
      </c>
      <c r="K572" t="b">
        <v>0</v>
      </c>
      <c r="L572">
        <v>2022</v>
      </c>
      <c r="M572">
        <v>235709340659.341</v>
      </c>
      <c r="N572">
        <v>27783332222.6759</v>
      </c>
      <c r="O572">
        <v>-1</v>
      </c>
    </row>
    <row r="573" spans="1:15" x14ac:dyDescent="0.3">
      <c r="A573" s="1">
        <v>917</v>
      </c>
      <c r="B573" s="2">
        <v>44890</v>
      </c>
      <c r="C573" s="2">
        <f>_xlfn.FLOOR.MATH([1]!Table1[[#This Row],[year]],10)</f>
        <v>2020</v>
      </c>
      <c r="D573" t="s">
        <v>27</v>
      </c>
      <c r="E573" t="s">
        <v>57</v>
      </c>
      <c r="F573">
        <v>1</v>
      </c>
      <c r="G573">
        <v>1</v>
      </c>
      <c r="H573" t="s">
        <v>74</v>
      </c>
      <c r="I573" t="s">
        <v>205</v>
      </c>
      <c r="J573" t="s">
        <v>68</v>
      </c>
      <c r="K573" t="b">
        <v>1</v>
      </c>
      <c r="L573">
        <v>2022</v>
      </c>
      <c r="M573">
        <v>1046540797548.64</v>
      </c>
      <c r="N573">
        <v>116133121000</v>
      </c>
      <c r="O573">
        <v>0</v>
      </c>
    </row>
    <row r="574" spans="1:15" x14ac:dyDescent="0.3">
      <c r="A574" s="1">
        <v>919</v>
      </c>
      <c r="B574" s="2">
        <v>44890</v>
      </c>
      <c r="C574" s="2">
        <f>_xlfn.FLOOR.MATH([1]!Table1[[#This Row],[year]],10)</f>
        <v>2020</v>
      </c>
      <c r="D574" t="s">
        <v>207</v>
      </c>
      <c r="E574" t="s">
        <v>41</v>
      </c>
      <c r="F574">
        <v>0</v>
      </c>
      <c r="G574">
        <v>0</v>
      </c>
      <c r="H574" t="s">
        <v>74</v>
      </c>
      <c r="I574" t="s">
        <v>202</v>
      </c>
      <c r="J574" t="s">
        <v>68</v>
      </c>
      <c r="K574" t="b">
        <v>1</v>
      </c>
      <c r="L574">
        <v>2022</v>
      </c>
      <c r="M574">
        <v>3181244350465.4102</v>
      </c>
      <c r="N574">
        <v>25604848907611</v>
      </c>
      <c r="O574">
        <v>0</v>
      </c>
    </row>
    <row r="575" spans="1:15" x14ac:dyDescent="0.3">
      <c r="A575" s="1">
        <v>920</v>
      </c>
      <c r="B575" s="2">
        <v>44891</v>
      </c>
      <c r="C575" s="2">
        <f>_xlfn.FLOOR.MATH([1]!Table1[[#This Row],[year]],10)</f>
        <v>2020</v>
      </c>
      <c r="D575" t="s">
        <v>58</v>
      </c>
      <c r="E575" t="s">
        <v>45</v>
      </c>
      <c r="F575">
        <v>2</v>
      </c>
      <c r="G575">
        <v>0</v>
      </c>
      <c r="H575" t="s">
        <v>74</v>
      </c>
      <c r="I575" t="s">
        <v>205</v>
      </c>
      <c r="J575" t="s">
        <v>68</v>
      </c>
      <c r="K575" t="b">
        <v>1</v>
      </c>
      <c r="L575">
        <v>2022</v>
      </c>
      <c r="M575">
        <v>695607470875.276</v>
      </c>
      <c r="N575">
        <v>1239075200000</v>
      </c>
      <c r="O575">
        <v>-1</v>
      </c>
    </row>
    <row r="576" spans="1:15" x14ac:dyDescent="0.3">
      <c r="A576" s="1">
        <v>921</v>
      </c>
      <c r="B576" s="2">
        <v>44891</v>
      </c>
      <c r="C576" s="2">
        <f>_xlfn.FLOOR.MATH([1]!Table1[[#This Row],[year]],10)</f>
        <v>2020</v>
      </c>
      <c r="D576" t="s">
        <v>19</v>
      </c>
      <c r="E576" t="s">
        <v>17</v>
      </c>
      <c r="F576">
        <v>2</v>
      </c>
      <c r="G576">
        <v>0</v>
      </c>
      <c r="H576" t="s">
        <v>74</v>
      </c>
      <c r="I576" t="s">
        <v>204</v>
      </c>
      <c r="J576" t="s">
        <v>68</v>
      </c>
      <c r="K576" t="b">
        <v>1</v>
      </c>
      <c r="L576">
        <v>2022</v>
      </c>
      <c r="M576">
        <v>633993756301.07996</v>
      </c>
      <c r="N576">
        <v>1466934724293.0601</v>
      </c>
      <c r="O576">
        <v>-1</v>
      </c>
    </row>
    <row r="577" spans="1:15" x14ac:dyDescent="0.3">
      <c r="A577" s="1">
        <v>922</v>
      </c>
      <c r="B577" s="2">
        <v>44891</v>
      </c>
      <c r="C577" s="2">
        <f>_xlfn.FLOOR.MATH([1]!Table1[[#This Row],[year]],10)</f>
        <v>2020</v>
      </c>
      <c r="D577" t="s">
        <v>53</v>
      </c>
      <c r="E577" t="s">
        <v>28</v>
      </c>
      <c r="F577">
        <v>0</v>
      </c>
      <c r="G577">
        <v>1</v>
      </c>
      <c r="H577" t="s">
        <v>74</v>
      </c>
      <c r="I577" t="s">
        <v>206</v>
      </c>
      <c r="J577" t="s">
        <v>68</v>
      </c>
      <c r="K577" t="b">
        <v>1</v>
      </c>
      <c r="L577">
        <v>2022</v>
      </c>
      <c r="M577">
        <v>44929920092.795502</v>
      </c>
      <c r="N577">
        <v>1695627535475.8</v>
      </c>
      <c r="O577">
        <v>1</v>
      </c>
    </row>
    <row r="578" spans="1:15" x14ac:dyDescent="0.3">
      <c r="A578" s="1">
        <v>923</v>
      </c>
      <c r="B578" s="2">
        <v>44891</v>
      </c>
      <c r="C578" s="2">
        <f>_xlfn.FLOOR.MATH([1]!Table1[[#This Row],[year]],10)</f>
        <v>2020</v>
      </c>
      <c r="D578" t="s">
        <v>20</v>
      </c>
      <c r="E578" t="s">
        <v>36</v>
      </c>
      <c r="F578">
        <v>2</v>
      </c>
      <c r="G578">
        <v>1</v>
      </c>
      <c r="H578" t="s">
        <v>74</v>
      </c>
      <c r="I578" t="s">
        <v>203</v>
      </c>
      <c r="J578" t="s">
        <v>68</v>
      </c>
      <c r="K578" t="b">
        <v>1</v>
      </c>
      <c r="L578">
        <v>2022</v>
      </c>
      <c r="M578">
        <v>2794788137066.9399</v>
      </c>
      <c r="N578">
        <v>400114306337.07703</v>
      </c>
      <c r="O578">
        <v>1</v>
      </c>
    </row>
    <row r="579" spans="1:15" x14ac:dyDescent="0.3">
      <c r="A579" s="1">
        <v>924</v>
      </c>
      <c r="B579" s="2">
        <v>44892</v>
      </c>
      <c r="C579" s="2">
        <f>_xlfn.FLOOR.MATH([1]!Table1[[#This Row],[year]],10)</f>
        <v>2020</v>
      </c>
      <c r="D579" t="s">
        <v>51</v>
      </c>
      <c r="E579" t="s">
        <v>56</v>
      </c>
      <c r="F579">
        <v>0</v>
      </c>
      <c r="G579">
        <v>1</v>
      </c>
      <c r="H579" t="s">
        <v>74</v>
      </c>
      <c r="I579" t="s">
        <v>205</v>
      </c>
      <c r="J579" t="s">
        <v>68</v>
      </c>
      <c r="K579" t="b">
        <v>1</v>
      </c>
      <c r="L579">
        <v>2022</v>
      </c>
      <c r="M579">
        <v>4262463317796.5298</v>
      </c>
      <c r="N579">
        <v>69243626028.593597</v>
      </c>
      <c r="O579">
        <v>-1</v>
      </c>
    </row>
    <row r="580" spans="1:15" x14ac:dyDescent="0.3">
      <c r="A580" s="1">
        <v>925</v>
      </c>
      <c r="B580" s="2">
        <v>44892</v>
      </c>
      <c r="C580" s="2">
        <f>_xlfn.FLOOR.MATH([1]!Table1[[#This Row],[year]],10)</f>
        <v>2020</v>
      </c>
      <c r="D580" t="s">
        <v>21</v>
      </c>
      <c r="E580" t="s">
        <v>16</v>
      </c>
      <c r="F580">
        <v>1</v>
      </c>
      <c r="G580">
        <v>1</v>
      </c>
      <c r="H580" t="s">
        <v>74</v>
      </c>
      <c r="I580" t="s">
        <v>202</v>
      </c>
      <c r="J580" t="s">
        <v>68</v>
      </c>
      <c r="K580" t="b">
        <v>1</v>
      </c>
      <c r="L580">
        <v>2022</v>
      </c>
      <c r="M580">
        <v>1448850658406.6201</v>
      </c>
      <c r="N580">
        <v>4201021706478.6201</v>
      </c>
      <c r="O580">
        <v>0</v>
      </c>
    </row>
    <row r="581" spans="1:15" x14ac:dyDescent="0.3">
      <c r="A581" s="1">
        <v>926</v>
      </c>
      <c r="B581" s="2">
        <v>44892</v>
      </c>
      <c r="C581" s="2">
        <f>_xlfn.FLOOR.MATH([1]!Table1[[#This Row],[year]],10)</f>
        <v>2020</v>
      </c>
      <c r="D581" t="s">
        <v>23</v>
      </c>
      <c r="E581" t="s">
        <v>24</v>
      </c>
      <c r="F581">
        <v>0</v>
      </c>
      <c r="G581">
        <v>2</v>
      </c>
      <c r="H581" t="s">
        <v>74</v>
      </c>
      <c r="I581" t="s">
        <v>203</v>
      </c>
      <c r="J581" t="s">
        <v>68</v>
      </c>
      <c r="K581" t="b">
        <v>1</v>
      </c>
      <c r="L581">
        <v>2022</v>
      </c>
      <c r="M581">
        <v>591085783326.26697</v>
      </c>
      <c r="N581">
        <v>131245312804.483</v>
      </c>
      <c r="O581">
        <v>-1</v>
      </c>
    </row>
    <row r="582" spans="1:15" x14ac:dyDescent="0.3">
      <c r="A582" s="1">
        <v>927</v>
      </c>
      <c r="B582" s="2">
        <v>44892</v>
      </c>
      <c r="C582" s="2">
        <f>_xlfn.FLOOR.MATH([1]!Table1[[#This Row],[year]],10)</f>
        <v>2020</v>
      </c>
      <c r="D582" t="s">
        <v>52</v>
      </c>
      <c r="E582" t="s">
        <v>34</v>
      </c>
      <c r="F582">
        <v>4</v>
      </c>
      <c r="G582">
        <v>1</v>
      </c>
      <c r="H582" t="s">
        <v>74</v>
      </c>
      <c r="I582" t="s">
        <v>205</v>
      </c>
      <c r="J582" t="s">
        <v>68</v>
      </c>
      <c r="K582" t="b">
        <v>1</v>
      </c>
      <c r="L582">
        <v>2022</v>
      </c>
      <c r="M582">
        <v>71196498671.114502</v>
      </c>
      <c r="N582">
        <v>2190411080134.3201</v>
      </c>
      <c r="O582">
        <v>-1</v>
      </c>
    </row>
    <row r="583" spans="1:15" x14ac:dyDescent="0.3">
      <c r="A583" s="1">
        <v>928</v>
      </c>
      <c r="B583" s="2">
        <v>44893</v>
      </c>
      <c r="C583" s="2">
        <f>_xlfn.FLOOR.MATH([1]!Table1[[#This Row],[year]],10)</f>
        <v>2020</v>
      </c>
      <c r="D583" t="s">
        <v>40</v>
      </c>
      <c r="E583" t="s">
        <v>61</v>
      </c>
      <c r="F583">
        <v>3</v>
      </c>
      <c r="G583">
        <v>3</v>
      </c>
      <c r="H583" t="s">
        <v>74</v>
      </c>
      <c r="I583" t="s">
        <v>206</v>
      </c>
      <c r="J583" t="s">
        <v>68</v>
      </c>
      <c r="K583" t="b">
        <v>1</v>
      </c>
      <c r="L583">
        <v>2022</v>
      </c>
      <c r="M583">
        <v>44347206072.5513</v>
      </c>
      <c r="N583">
        <v>66809895701.215202</v>
      </c>
      <c r="O583">
        <v>0</v>
      </c>
    </row>
    <row r="584" spans="1:15" x14ac:dyDescent="0.3">
      <c r="A584" s="1">
        <v>929</v>
      </c>
      <c r="B584" s="2">
        <v>44893</v>
      </c>
      <c r="C584" s="2">
        <f>_xlfn.FLOOR.MATH([1]!Table1[[#This Row],[year]],10)</f>
        <v>2020</v>
      </c>
      <c r="D584" t="s">
        <v>13</v>
      </c>
      <c r="E584" t="s">
        <v>46</v>
      </c>
      <c r="F584">
        <v>1</v>
      </c>
      <c r="G584">
        <v>0</v>
      </c>
      <c r="H584" t="s">
        <v>74</v>
      </c>
      <c r="I584" t="s">
        <v>203</v>
      </c>
      <c r="J584" t="s">
        <v>68</v>
      </c>
      <c r="K584" t="b">
        <v>1</v>
      </c>
      <c r="L584">
        <v>2022</v>
      </c>
      <c r="M584">
        <v>1951923832083.8701</v>
      </c>
      <c r="N584">
        <v>828508926958.39294</v>
      </c>
      <c r="O584">
        <v>1</v>
      </c>
    </row>
    <row r="585" spans="1:15" x14ac:dyDescent="0.3">
      <c r="A585" s="1">
        <v>931</v>
      </c>
      <c r="B585" s="2">
        <v>44893</v>
      </c>
      <c r="C585" s="2">
        <f>_xlfn.FLOOR.MATH([1]!Table1[[#This Row],[year]],10)</f>
        <v>2020</v>
      </c>
      <c r="D585" t="s">
        <v>38</v>
      </c>
      <c r="E585" t="s">
        <v>26</v>
      </c>
      <c r="F585">
        <v>2</v>
      </c>
      <c r="G585">
        <v>0</v>
      </c>
      <c r="H585" t="s">
        <v>74</v>
      </c>
      <c r="I585" t="s">
        <v>204</v>
      </c>
      <c r="J585" t="s">
        <v>68</v>
      </c>
      <c r="K585" t="b">
        <v>1</v>
      </c>
      <c r="L585">
        <v>2022</v>
      </c>
      <c r="M585">
        <v>256898677175.02399</v>
      </c>
      <c r="N585">
        <v>70594110920.035797</v>
      </c>
      <c r="O585">
        <v>1</v>
      </c>
    </row>
    <row r="586" spans="1:15" x14ac:dyDescent="0.3">
      <c r="A586" s="1">
        <v>932</v>
      </c>
      <c r="B586" s="2">
        <v>44894</v>
      </c>
      <c r="C586" s="2">
        <f>_xlfn.FLOOR.MATH([1]!Table1[[#This Row],[year]],10)</f>
        <v>2020</v>
      </c>
      <c r="D586" t="s">
        <v>57</v>
      </c>
      <c r="E586" t="s">
        <v>54</v>
      </c>
      <c r="F586">
        <v>1</v>
      </c>
      <c r="G586">
        <v>2</v>
      </c>
      <c r="H586" t="s">
        <v>74</v>
      </c>
      <c r="I586" t="s">
        <v>205</v>
      </c>
      <c r="J586" t="s">
        <v>68</v>
      </c>
      <c r="K586" t="b">
        <v>1</v>
      </c>
      <c r="L586">
        <v>2022</v>
      </c>
      <c r="M586">
        <v>116133121000</v>
      </c>
      <c r="N586">
        <v>27783332222.6759</v>
      </c>
      <c r="O586">
        <v>-1</v>
      </c>
    </row>
    <row r="587" spans="1:15" x14ac:dyDescent="0.3">
      <c r="A587" s="1">
        <v>933</v>
      </c>
      <c r="B587" s="2">
        <v>44894</v>
      </c>
      <c r="C587" s="2">
        <f>_xlfn.FLOOR.MATH([1]!Table1[[#This Row],[year]],10)</f>
        <v>2020</v>
      </c>
      <c r="D587" t="s">
        <v>68</v>
      </c>
      <c r="E587" t="s">
        <v>27</v>
      </c>
      <c r="F587">
        <v>0</v>
      </c>
      <c r="G587">
        <v>2</v>
      </c>
      <c r="H587" t="s">
        <v>74</v>
      </c>
      <c r="I587" t="s">
        <v>202</v>
      </c>
      <c r="J587" t="s">
        <v>68</v>
      </c>
      <c r="K587" t="b">
        <v>0</v>
      </c>
      <c r="L587">
        <v>2022</v>
      </c>
      <c r="M587">
        <v>235709340659.341</v>
      </c>
      <c r="N587">
        <v>1046540797548.64</v>
      </c>
      <c r="O587">
        <v>1</v>
      </c>
    </row>
    <row r="588" spans="1:15" x14ac:dyDescent="0.3">
      <c r="A588" s="1">
        <v>935</v>
      </c>
      <c r="B588" s="2">
        <v>44894</v>
      </c>
      <c r="C588" s="2">
        <f>_xlfn.FLOOR.MATH([1]!Table1[[#This Row],[year]],10)</f>
        <v>2020</v>
      </c>
      <c r="D588" t="s">
        <v>225</v>
      </c>
      <c r="E588" t="s">
        <v>41</v>
      </c>
      <c r="F588">
        <v>0</v>
      </c>
      <c r="G588">
        <v>1</v>
      </c>
      <c r="H588" t="s">
        <v>74</v>
      </c>
      <c r="I588" t="s">
        <v>203</v>
      </c>
      <c r="J588" t="s">
        <v>68</v>
      </c>
      <c r="K588" t="b">
        <v>1</v>
      </c>
      <c r="L588">
        <v>2022</v>
      </c>
      <c r="M588">
        <v>422662261525.66498</v>
      </c>
      <c r="N588">
        <v>25604848907611</v>
      </c>
      <c r="O588">
        <v>1</v>
      </c>
    </row>
    <row r="589" spans="1:15" x14ac:dyDescent="0.3">
      <c r="A589" s="1">
        <v>936</v>
      </c>
      <c r="B589" s="2">
        <v>44895</v>
      </c>
      <c r="C589" s="2">
        <f>_xlfn.FLOOR.MATH([1]!Table1[[#This Row],[year]],10)</f>
        <v>2020</v>
      </c>
      <c r="D589" t="s">
        <v>58</v>
      </c>
      <c r="E589" t="s">
        <v>19</v>
      </c>
      <c r="F589">
        <v>0</v>
      </c>
      <c r="G589">
        <v>2</v>
      </c>
      <c r="H589" t="s">
        <v>74</v>
      </c>
      <c r="I589" t="s">
        <v>203</v>
      </c>
      <c r="J589" t="s">
        <v>68</v>
      </c>
      <c r="K589" t="b">
        <v>1</v>
      </c>
      <c r="L589">
        <v>2022</v>
      </c>
      <c r="M589">
        <v>695607470875.276</v>
      </c>
      <c r="N589">
        <v>633993756301.07996</v>
      </c>
      <c r="O589">
        <v>-1</v>
      </c>
    </row>
    <row r="590" spans="1:15" x14ac:dyDescent="0.3">
      <c r="A590" s="1">
        <v>937</v>
      </c>
      <c r="B590" s="2">
        <v>44895</v>
      </c>
      <c r="C590" s="2">
        <f>_xlfn.FLOOR.MATH([1]!Table1[[#This Row],[year]],10)</f>
        <v>2020</v>
      </c>
      <c r="D590" t="s">
        <v>45</v>
      </c>
      <c r="E590" t="s">
        <v>17</v>
      </c>
      <c r="F590">
        <v>1</v>
      </c>
      <c r="G590">
        <v>2</v>
      </c>
      <c r="H590" t="s">
        <v>74</v>
      </c>
      <c r="I590" t="s">
        <v>204</v>
      </c>
      <c r="J590" t="s">
        <v>68</v>
      </c>
      <c r="K590" t="b">
        <v>1</v>
      </c>
      <c r="L590">
        <v>2022</v>
      </c>
      <c r="M590">
        <v>1239075200000</v>
      </c>
      <c r="N590">
        <v>1466934724293.0601</v>
      </c>
      <c r="O590">
        <v>1</v>
      </c>
    </row>
    <row r="591" spans="1:15" x14ac:dyDescent="0.3">
      <c r="A591" s="1">
        <v>938</v>
      </c>
      <c r="B591" s="2">
        <v>44895</v>
      </c>
      <c r="C591" s="2">
        <f>_xlfn.FLOOR.MATH([1]!Table1[[#This Row],[year]],10)</f>
        <v>2020</v>
      </c>
      <c r="D591" t="s">
        <v>28</v>
      </c>
      <c r="E591" t="s">
        <v>36</v>
      </c>
      <c r="F591">
        <v>1</v>
      </c>
      <c r="G591">
        <v>0</v>
      </c>
      <c r="H591" t="s">
        <v>74</v>
      </c>
      <c r="I591" t="s">
        <v>206</v>
      </c>
      <c r="J591" t="s">
        <v>68</v>
      </c>
      <c r="K591" t="b">
        <v>1</v>
      </c>
      <c r="L591">
        <v>2022</v>
      </c>
      <c r="M591">
        <v>1695627535475.8</v>
      </c>
      <c r="N591">
        <v>400114306337.07703</v>
      </c>
      <c r="O591">
        <v>1</v>
      </c>
    </row>
    <row r="592" spans="1:15" x14ac:dyDescent="0.3">
      <c r="A592" s="1">
        <v>939</v>
      </c>
      <c r="B592" s="2">
        <v>44895</v>
      </c>
      <c r="C592" s="2">
        <f>_xlfn.FLOOR.MATH([1]!Table1[[#This Row],[year]],10)</f>
        <v>2020</v>
      </c>
      <c r="D592" t="s">
        <v>53</v>
      </c>
      <c r="E592" t="s">
        <v>20</v>
      </c>
      <c r="F592">
        <v>1</v>
      </c>
      <c r="G592">
        <v>0</v>
      </c>
      <c r="H592" t="s">
        <v>74</v>
      </c>
      <c r="I592" t="s">
        <v>205</v>
      </c>
      <c r="J592" t="s">
        <v>68</v>
      </c>
      <c r="K592" t="b">
        <v>1</v>
      </c>
      <c r="L592">
        <v>2022</v>
      </c>
      <c r="M592">
        <v>44929920092.795502</v>
      </c>
      <c r="N592">
        <v>2794788137066.9399</v>
      </c>
      <c r="O592">
        <v>-1</v>
      </c>
    </row>
    <row r="593" spans="1:15" x14ac:dyDescent="0.3">
      <c r="A593" s="1">
        <v>940</v>
      </c>
      <c r="B593" s="2">
        <v>44896</v>
      </c>
      <c r="C593" s="2">
        <f>_xlfn.FLOOR.MATH([1]!Table1[[#This Row],[year]],10)</f>
        <v>2020</v>
      </c>
      <c r="D593" t="s">
        <v>51</v>
      </c>
      <c r="E593" t="s">
        <v>21</v>
      </c>
      <c r="F593">
        <v>2</v>
      </c>
      <c r="G593">
        <v>1</v>
      </c>
      <c r="H593" t="s">
        <v>74</v>
      </c>
      <c r="I593" t="s">
        <v>205</v>
      </c>
      <c r="J593" t="s">
        <v>68</v>
      </c>
      <c r="K593" t="b">
        <v>1</v>
      </c>
      <c r="L593">
        <v>2022</v>
      </c>
      <c r="M593">
        <v>4262463317796.5298</v>
      </c>
      <c r="N593">
        <v>1448850658406.6201</v>
      </c>
      <c r="O593">
        <v>1</v>
      </c>
    </row>
    <row r="594" spans="1:15" x14ac:dyDescent="0.3">
      <c r="A594" s="1">
        <v>941</v>
      </c>
      <c r="B594" s="2">
        <v>44896</v>
      </c>
      <c r="C594" s="2">
        <f>_xlfn.FLOOR.MATH([1]!Table1[[#This Row],[year]],10)</f>
        <v>2020</v>
      </c>
      <c r="D594" t="s">
        <v>56</v>
      </c>
      <c r="E594" t="s">
        <v>16</v>
      </c>
      <c r="F594">
        <v>2</v>
      </c>
      <c r="G594">
        <v>4</v>
      </c>
      <c r="H594" t="s">
        <v>74</v>
      </c>
      <c r="I594" t="s">
        <v>202</v>
      </c>
      <c r="J594" t="s">
        <v>68</v>
      </c>
      <c r="K594" t="b">
        <v>1</v>
      </c>
      <c r="L594">
        <v>2022</v>
      </c>
      <c r="M594">
        <v>69243626028.593597</v>
      </c>
      <c r="N594">
        <v>4201021706478.6201</v>
      </c>
      <c r="O594">
        <v>1</v>
      </c>
    </row>
    <row r="595" spans="1:15" x14ac:dyDescent="0.3">
      <c r="A595" s="1">
        <v>942</v>
      </c>
      <c r="B595" s="2">
        <v>44896</v>
      </c>
      <c r="C595" s="2">
        <f>_xlfn.FLOOR.MATH([1]!Table1[[#This Row],[year]],10)</f>
        <v>2020</v>
      </c>
      <c r="D595" t="s">
        <v>52</v>
      </c>
      <c r="E595" t="s">
        <v>23</v>
      </c>
      <c r="F595">
        <v>0</v>
      </c>
      <c r="G595">
        <v>0</v>
      </c>
      <c r="H595" t="s">
        <v>74</v>
      </c>
      <c r="I595" t="s">
        <v>205</v>
      </c>
      <c r="J595" t="s">
        <v>68</v>
      </c>
      <c r="K595" t="b">
        <v>1</v>
      </c>
      <c r="L595">
        <v>2022</v>
      </c>
      <c r="M595">
        <v>71196498671.114502</v>
      </c>
      <c r="N595">
        <v>591085783326.26697</v>
      </c>
      <c r="O595">
        <v>0</v>
      </c>
    </row>
    <row r="596" spans="1:15" x14ac:dyDescent="0.3">
      <c r="A596" s="1">
        <v>943</v>
      </c>
      <c r="B596" s="2">
        <v>44896</v>
      </c>
      <c r="C596" s="2">
        <f>_xlfn.FLOOR.MATH([1]!Table1[[#This Row],[year]],10)</f>
        <v>2020</v>
      </c>
      <c r="D596" t="s">
        <v>34</v>
      </c>
      <c r="E596" t="s">
        <v>24</v>
      </c>
      <c r="F596">
        <v>1</v>
      </c>
      <c r="G596">
        <v>2</v>
      </c>
      <c r="H596" t="s">
        <v>74</v>
      </c>
      <c r="I596" t="s">
        <v>203</v>
      </c>
      <c r="J596" t="s">
        <v>68</v>
      </c>
      <c r="K596" t="b">
        <v>1</v>
      </c>
      <c r="L596">
        <v>2022</v>
      </c>
      <c r="M596">
        <v>2190411080134.3201</v>
      </c>
      <c r="N596">
        <v>131245312804.483</v>
      </c>
      <c r="O596">
        <v>-1</v>
      </c>
    </row>
    <row r="597" spans="1:15" x14ac:dyDescent="0.3">
      <c r="A597" s="1">
        <v>944</v>
      </c>
      <c r="B597" s="2">
        <v>44897</v>
      </c>
      <c r="C597" s="2">
        <f>_xlfn.FLOOR.MATH([1]!Table1[[#This Row],[year]],10)</f>
        <v>2020</v>
      </c>
      <c r="D597" t="s">
        <v>61</v>
      </c>
      <c r="E597" t="s">
        <v>46</v>
      </c>
      <c r="F597">
        <v>2</v>
      </c>
      <c r="G597">
        <v>3</v>
      </c>
      <c r="H597" t="s">
        <v>74</v>
      </c>
      <c r="I597" t="s">
        <v>203</v>
      </c>
      <c r="J597" t="s">
        <v>68</v>
      </c>
      <c r="K597" t="b">
        <v>1</v>
      </c>
      <c r="L597">
        <v>2022</v>
      </c>
      <c r="M597">
        <v>66809895701.215202</v>
      </c>
      <c r="N597">
        <v>828508926958.39294</v>
      </c>
      <c r="O597">
        <v>1</v>
      </c>
    </row>
    <row r="598" spans="1:15" x14ac:dyDescent="0.3">
      <c r="A598" s="1">
        <v>945</v>
      </c>
      <c r="B598" s="2">
        <v>44897</v>
      </c>
      <c r="C598" s="2">
        <f>_xlfn.FLOOR.MATH([1]!Table1[[#This Row],[year]],10)</f>
        <v>2020</v>
      </c>
      <c r="D598" t="s">
        <v>40</v>
      </c>
      <c r="E598" t="s">
        <v>13</v>
      </c>
      <c r="F598">
        <v>1</v>
      </c>
      <c r="G598">
        <v>0</v>
      </c>
      <c r="H598" t="s">
        <v>74</v>
      </c>
      <c r="I598" t="s">
        <v>204</v>
      </c>
      <c r="J598" t="s">
        <v>68</v>
      </c>
      <c r="K598" t="b">
        <v>1</v>
      </c>
      <c r="L598">
        <v>2022</v>
      </c>
      <c r="M598">
        <v>44347206072.5513</v>
      </c>
      <c r="N598">
        <v>1951923832083.8701</v>
      </c>
      <c r="O598">
        <v>-1</v>
      </c>
    </row>
    <row r="599" spans="1:15" x14ac:dyDescent="0.3">
      <c r="A599" s="1">
        <v>946</v>
      </c>
      <c r="B599" s="2">
        <v>44897</v>
      </c>
      <c r="C599" s="2">
        <f>_xlfn.FLOOR.MATH([1]!Table1[[#This Row],[year]],10)</f>
        <v>2020</v>
      </c>
      <c r="D599" t="s">
        <v>63</v>
      </c>
      <c r="E599" t="s">
        <v>26</v>
      </c>
      <c r="F599">
        <v>0</v>
      </c>
      <c r="G599">
        <v>2</v>
      </c>
      <c r="H599" t="s">
        <v>74</v>
      </c>
      <c r="I599" t="s">
        <v>206</v>
      </c>
      <c r="J599" t="s">
        <v>68</v>
      </c>
      <c r="K599" t="b">
        <v>1</v>
      </c>
      <c r="L599">
        <v>2022</v>
      </c>
      <c r="M599">
        <v>73919003209.986603</v>
      </c>
      <c r="N599">
        <v>70594110920.035797</v>
      </c>
      <c r="O599">
        <v>-1</v>
      </c>
    </row>
    <row r="600" spans="1:15" x14ac:dyDescent="0.3">
      <c r="A600" s="1">
        <v>948</v>
      </c>
      <c r="B600" s="2">
        <v>44898</v>
      </c>
      <c r="C600" s="2">
        <f>_xlfn.FLOOR.MATH([1]!Table1[[#This Row],[year]],10)</f>
        <v>2020</v>
      </c>
      <c r="D600" t="s">
        <v>27</v>
      </c>
      <c r="E600" t="s">
        <v>41</v>
      </c>
      <c r="F600">
        <v>3</v>
      </c>
      <c r="G600">
        <v>1</v>
      </c>
      <c r="H600" t="s">
        <v>74</v>
      </c>
      <c r="I600" t="s">
        <v>205</v>
      </c>
      <c r="J600" t="s">
        <v>68</v>
      </c>
      <c r="K600" t="b">
        <v>1</v>
      </c>
      <c r="L600">
        <v>2022</v>
      </c>
      <c r="M600">
        <v>1046540797548.64</v>
      </c>
      <c r="N600">
        <v>25604848907611</v>
      </c>
      <c r="O600">
        <v>-1</v>
      </c>
    </row>
    <row r="601" spans="1:15" x14ac:dyDescent="0.3">
      <c r="A601" s="1">
        <v>949</v>
      </c>
      <c r="B601" s="2">
        <v>44898</v>
      </c>
      <c r="C601" s="2">
        <f>_xlfn.FLOOR.MATH([1]!Table1[[#This Row],[year]],10)</f>
        <v>2020</v>
      </c>
      <c r="D601" t="s">
        <v>19</v>
      </c>
      <c r="E601" t="s">
        <v>28</v>
      </c>
      <c r="F601">
        <v>2</v>
      </c>
      <c r="G601">
        <v>1</v>
      </c>
      <c r="H601" t="s">
        <v>74</v>
      </c>
      <c r="I601" t="s">
        <v>205</v>
      </c>
      <c r="J601" t="s">
        <v>68</v>
      </c>
      <c r="K601" t="b">
        <v>1</v>
      </c>
      <c r="L601">
        <v>2022</v>
      </c>
      <c r="M601">
        <v>633993756301.07996</v>
      </c>
      <c r="N601">
        <v>1695627535475.8</v>
      </c>
      <c r="O601">
        <v>-1</v>
      </c>
    </row>
    <row r="602" spans="1:15" x14ac:dyDescent="0.3">
      <c r="A602" s="1">
        <v>950</v>
      </c>
      <c r="B602" s="2">
        <v>44899</v>
      </c>
      <c r="C602" s="2">
        <f>_xlfn.FLOOR.MATH([1]!Table1[[#This Row],[year]],10)</f>
        <v>2020</v>
      </c>
      <c r="D602" t="s">
        <v>20</v>
      </c>
      <c r="E602" t="s">
        <v>58</v>
      </c>
      <c r="F602">
        <v>3</v>
      </c>
      <c r="G602">
        <v>1</v>
      </c>
      <c r="H602" t="s">
        <v>74</v>
      </c>
      <c r="I602" t="s">
        <v>203</v>
      </c>
      <c r="J602" t="s">
        <v>68</v>
      </c>
      <c r="K602" t="b">
        <v>1</v>
      </c>
      <c r="L602">
        <v>2022</v>
      </c>
      <c r="M602">
        <v>2794788137066.9399</v>
      </c>
      <c r="N602">
        <v>695607470875.276</v>
      </c>
      <c r="O602">
        <v>1</v>
      </c>
    </row>
    <row r="603" spans="1:15" x14ac:dyDescent="0.3">
      <c r="A603" s="1">
        <v>951</v>
      </c>
      <c r="B603" s="2">
        <v>44899</v>
      </c>
      <c r="C603" s="2">
        <f>_xlfn.FLOOR.MATH([1]!Table1[[#This Row],[year]],10)</f>
        <v>2020</v>
      </c>
      <c r="D603" t="s">
        <v>207</v>
      </c>
      <c r="E603" t="s">
        <v>54</v>
      </c>
      <c r="F603">
        <v>3</v>
      </c>
      <c r="G603">
        <v>0</v>
      </c>
      <c r="H603" t="s">
        <v>74</v>
      </c>
      <c r="I603" t="s">
        <v>202</v>
      </c>
      <c r="J603" t="s">
        <v>68</v>
      </c>
      <c r="K603" t="b">
        <v>1</v>
      </c>
      <c r="L603">
        <v>2022</v>
      </c>
      <c r="M603">
        <v>3181244350465.4102</v>
      </c>
      <c r="N603">
        <v>27783332222.6759</v>
      </c>
      <c r="O603">
        <v>1</v>
      </c>
    </row>
    <row r="604" spans="1:15" x14ac:dyDescent="0.3">
      <c r="A604" s="1">
        <v>952</v>
      </c>
      <c r="B604" s="2">
        <v>44900</v>
      </c>
      <c r="C604" s="2">
        <f>_xlfn.FLOOR.MATH([1]!Table1[[#This Row],[year]],10)</f>
        <v>2020</v>
      </c>
      <c r="D604" t="s">
        <v>51</v>
      </c>
      <c r="E604" t="s">
        <v>52</v>
      </c>
      <c r="F604">
        <v>1</v>
      </c>
      <c r="G604">
        <v>1</v>
      </c>
      <c r="H604" t="s">
        <v>74</v>
      </c>
      <c r="I604" t="s">
        <v>206</v>
      </c>
      <c r="J604" t="s">
        <v>68</v>
      </c>
      <c r="K604" t="b">
        <v>1</v>
      </c>
      <c r="L604">
        <v>2022</v>
      </c>
      <c r="M604">
        <v>4262463317796.5298</v>
      </c>
      <c r="N604">
        <v>71196498671.114502</v>
      </c>
      <c r="O604">
        <v>0</v>
      </c>
    </row>
    <row r="605" spans="1:15" x14ac:dyDescent="0.3">
      <c r="A605" s="1">
        <v>954</v>
      </c>
      <c r="B605" s="2">
        <v>44901</v>
      </c>
      <c r="C605" s="2">
        <f>_xlfn.FLOOR.MATH([1]!Table1[[#This Row],[year]],10)</f>
        <v>2020</v>
      </c>
      <c r="D605" t="s">
        <v>24</v>
      </c>
      <c r="E605" t="s">
        <v>21</v>
      </c>
      <c r="F605">
        <v>0</v>
      </c>
      <c r="G605">
        <v>0</v>
      </c>
      <c r="H605" t="s">
        <v>74</v>
      </c>
      <c r="I605" t="s">
        <v>205</v>
      </c>
      <c r="J605" t="s">
        <v>68</v>
      </c>
      <c r="K605" t="b">
        <v>1</v>
      </c>
      <c r="L605">
        <v>2022</v>
      </c>
      <c r="M605">
        <v>131245312804.483</v>
      </c>
      <c r="N605">
        <v>1448850658406.6201</v>
      </c>
      <c r="O605">
        <v>0</v>
      </c>
    </row>
    <row r="606" spans="1:15" x14ac:dyDescent="0.3">
      <c r="A606" s="1">
        <v>955</v>
      </c>
      <c r="B606" s="2">
        <v>44901</v>
      </c>
      <c r="C606" s="2">
        <f>_xlfn.FLOOR.MATH([1]!Table1[[#This Row],[year]],10)</f>
        <v>2020</v>
      </c>
      <c r="D606" t="s">
        <v>38</v>
      </c>
      <c r="E606" t="s">
        <v>46</v>
      </c>
      <c r="F606">
        <v>6</v>
      </c>
      <c r="G606">
        <v>1</v>
      </c>
      <c r="H606" t="s">
        <v>74</v>
      </c>
      <c r="I606" t="s">
        <v>204</v>
      </c>
      <c r="J606" t="s">
        <v>68</v>
      </c>
      <c r="K606" t="b">
        <v>1</v>
      </c>
      <c r="L606">
        <v>2022</v>
      </c>
      <c r="M606">
        <v>256898677175.02399</v>
      </c>
      <c r="N606">
        <v>828508926958.39294</v>
      </c>
      <c r="O606">
        <v>-1</v>
      </c>
    </row>
    <row r="607" spans="1:15" x14ac:dyDescent="0.3">
      <c r="A607" s="1">
        <v>956</v>
      </c>
      <c r="B607" s="2">
        <v>44904</v>
      </c>
      <c r="C607" s="2">
        <f>_xlfn.FLOOR.MATH([1]!Table1[[#This Row],[year]],10)</f>
        <v>2020</v>
      </c>
      <c r="D607" t="s">
        <v>52</v>
      </c>
      <c r="E607" t="s">
        <v>13</v>
      </c>
      <c r="F607">
        <v>1</v>
      </c>
      <c r="G607">
        <v>1</v>
      </c>
      <c r="H607" t="s">
        <v>74</v>
      </c>
      <c r="I607" t="s">
        <v>205</v>
      </c>
      <c r="J607" t="s">
        <v>68</v>
      </c>
      <c r="K607" t="b">
        <v>1</v>
      </c>
      <c r="L607">
        <v>2022</v>
      </c>
      <c r="M607">
        <v>71196498671.114502</v>
      </c>
      <c r="N607">
        <v>1951923832083.8701</v>
      </c>
      <c r="O607">
        <v>0</v>
      </c>
    </row>
    <row r="608" spans="1:15" x14ac:dyDescent="0.3">
      <c r="A608" s="1">
        <v>957</v>
      </c>
      <c r="B608" s="2">
        <v>44904</v>
      </c>
      <c r="C608" s="2">
        <f>_xlfn.FLOOR.MATH([1]!Table1[[#This Row],[year]],10)</f>
        <v>2020</v>
      </c>
      <c r="D608" t="s">
        <v>27</v>
      </c>
      <c r="E608" t="s">
        <v>19</v>
      </c>
      <c r="F608">
        <v>2</v>
      </c>
      <c r="G608">
        <v>2</v>
      </c>
      <c r="H608" t="s">
        <v>74</v>
      </c>
      <c r="I608" t="s">
        <v>204</v>
      </c>
      <c r="J608" t="s">
        <v>68</v>
      </c>
      <c r="K608" t="b">
        <v>1</v>
      </c>
      <c r="L608">
        <v>2022</v>
      </c>
      <c r="M608">
        <v>1046540797548.64</v>
      </c>
      <c r="N608">
        <v>633993756301.07996</v>
      </c>
      <c r="O608">
        <v>0</v>
      </c>
    </row>
    <row r="609" spans="1:15" x14ac:dyDescent="0.3">
      <c r="A609" s="1">
        <v>958</v>
      </c>
      <c r="B609" s="2">
        <v>44905</v>
      </c>
      <c r="C609" s="2">
        <f>_xlfn.FLOOR.MATH([1]!Table1[[#This Row],[year]],10)</f>
        <v>2020</v>
      </c>
      <c r="D609" t="s">
        <v>24</v>
      </c>
      <c r="E609" t="s">
        <v>38</v>
      </c>
      <c r="F609">
        <v>1</v>
      </c>
      <c r="G609">
        <v>0</v>
      </c>
      <c r="H609" t="s">
        <v>74</v>
      </c>
      <c r="I609" t="s">
        <v>203</v>
      </c>
      <c r="J609" t="s">
        <v>68</v>
      </c>
      <c r="K609" t="b">
        <v>1</v>
      </c>
      <c r="L609">
        <v>2022</v>
      </c>
      <c r="M609">
        <v>131245312804.483</v>
      </c>
      <c r="N609">
        <v>256898677175.02399</v>
      </c>
      <c r="O609">
        <v>-1</v>
      </c>
    </row>
    <row r="610" spans="1:15" x14ac:dyDescent="0.3">
      <c r="A610" s="1">
        <v>959</v>
      </c>
      <c r="B610" s="2">
        <v>44905</v>
      </c>
      <c r="C610" s="2">
        <f>_xlfn.FLOOR.MATH([1]!Table1[[#This Row],[year]],10)</f>
        <v>2020</v>
      </c>
      <c r="D610" t="s">
        <v>207</v>
      </c>
      <c r="E610" t="s">
        <v>20</v>
      </c>
      <c r="F610">
        <v>1</v>
      </c>
      <c r="G610">
        <v>2</v>
      </c>
      <c r="H610" t="s">
        <v>74</v>
      </c>
      <c r="I610" t="s">
        <v>202</v>
      </c>
      <c r="J610" t="s">
        <v>68</v>
      </c>
      <c r="K610" t="b">
        <v>1</v>
      </c>
      <c r="L610">
        <v>2022</v>
      </c>
      <c r="M610">
        <v>3181244350465.4102</v>
      </c>
      <c r="N610">
        <v>2794788137066.9399</v>
      </c>
      <c r="O610">
        <v>-1</v>
      </c>
    </row>
    <row r="611" spans="1:15" x14ac:dyDescent="0.3">
      <c r="A611" s="1">
        <v>960</v>
      </c>
      <c r="B611" s="2">
        <v>44908</v>
      </c>
      <c r="C611" s="2">
        <f>_xlfn.FLOOR.MATH([1]!Table1[[#This Row],[year]],10)</f>
        <v>2020</v>
      </c>
      <c r="D611" t="s">
        <v>19</v>
      </c>
      <c r="E611" t="s">
        <v>52</v>
      </c>
      <c r="F611">
        <v>3</v>
      </c>
      <c r="G611">
        <v>0</v>
      </c>
      <c r="H611" t="s">
        <v>74</v>
      </c>
      <c r="I611" t="s">
        <v>204</v>
      </c>
      <c r="J611" t="s">
        <v>68</v>
      </c>
      <c r="K611" t="b">
        <v>1</v>
      </c>
      <c r="L611">
        <v>2022</v>
      </c>
      <c r="M611">
        <v>633993756301.07996</v>
      </c>
      <c r="N611">
        <v>71196498671.114502</v>
      </c>
      <c r="O611">
        <v>1</v>
      </c>
    </row>
    <row r="612" spans="1:15" x14ac:dyDescent="0.3">
      <c r="A612" s="1">
        <v>961</v>
      </c>
      <c r="B612" s="2">
        <v>44909</v>
      </c>
      <c r="C612" s="2">
        <f>_xlfn.FLOOR.MATH([1]!Table1[[#This Row],[year]],10)</f>
        <v>2020</v>
      </c>
      <c r="D612" t="s">
        <v>20</v>
      </c>
      <c r="E612" t="s">
        <v>24</v>
      </c>
      <c r="F612">
        <v>2</v>
      </c>
      <c r="G612">
        <v>0</v>
      </c>
      <c r="H612" t="s">
        <v>74</v>
      </c>
      <c r="I612" t="s">
        <v>202</v>
      </c>
      <c r="J612" t="s">
        <v>68</v>
      </c>
      <c r="K612" t="b">
        <v>1</v>
      </c>
      <c r="L612">
        <v>2022</v>
      </c>
      <c r="M612">
        <v>2794788137066.9399</v>
      </c>
      <c r="N612">
        <v>131245312804.483</v>
      </c>
      <c r="O612">
        <v>1</v>
      </c>
    </row>
    <row r="613" spans="1:15" x14ac:dyDescent="0.3">
      <c r="A613" s="1">
        <v>962</v>
      </c>
      <c r="B613" s="2">
        <v>44912</v>
      </c>
      <c r="C613" s="2">
        <f>_xlfn.FLOOR.MATH([1]!Table1[[#This Row],[year]],10)</f>
        <v>2020</v>
      </c>
      <c r="D613" t="s">
        <v>52</v>
      </c>
      <c r="E613" t="s">
        <v>24</v>
      </c>
      <c r="F613">
        <v>2</v>
      </c>
      <c r="G613">
        <v>1</v>
      </c>
      <c r="H613" t="s">
        <v>74</v>
      </c>
      <c r="I613" t="s">
        <v>205</v>
      </c>
      <c r="J613" t="s">
        <v>68</v>
      </c>
      <c r="K613" t="b">
        <v>1</v>
      </c>
      <c r="L613">
        <v>2022</v>
      </c>
      <c r="M613">
        <v>71196498671.114502</v>
      </c>
      <c r="N613">
        <v>131245312804.483</v>
      </c>
      <c r="O613">
        <v>-1</v>
      </c>
    </row>
    <row r="614" spans="1:15" x14ac:dyDescent="0.3">
      <c r="A614" s="1">
        <v>963</v>
      </c>
      <c r="B614" s="2">
        <v>44913</v>
      </c>
      <c r="C614" s="2">
        <f>_xlfn.FLOOR.MATH([1]!Table1[[#This Row],[year]],10)</f>
        <v>2020</v>
      </c>
      <c r="D614" t="s">
        <v>19</v>
      </c>
      <c r="E614" t="s">
        <v>20</v>
      </c>
      <c r="F614">
        <v>3</v>
      </c>
      <c r="G614">
        <v>3</v>
      </c>
      <c r="H614" t="s">
        <v>74</v>
      </c>
      <c r="I614" t="s">
        <v>204</v>
      </c>
      <c r="J614" t="s">
        <v>68</v>
      </c>
      <c r="K614" t="b">
        <v>1</v>
      </c>
      <c r="L614">
        <v>2022</v>
      </c>
      <c r="M614">
        <v>633993756301.07996</v>
      </c>
      <c r="N614">
        <v>2794788137066.9399</v>
      </c>
      <c r="O61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1A8B-79E1-49AB-BA87-66D4EB82B823}">
  <dimension ref="A1:F17"/>
  <sheetViews>
    <sheetView workbookViewId="0">
      <selection activeCell="B3" sqref="B3"/>
    </sheetView>
  </sheetViews>
  <sheetFormatPr defaultRowHeight="14.4" x14ac:dyDescent="0.3"/>
  <cols>
    <col min="4" max="4" width="12" customWidth="1"/>
    <col min="5" max="5" width="11.21875" customWidth="1"/>
    <col min="6" max="6" width="12.5546875" customWidth="1"/>
  </cols>
  <sheetData>
    <row r="1" spans="1:6" x14ac:dyDescent="0.3">
      <c r="A1" t="s">
        <v>215</v>
      </c>
      <c r="B1" t="s">
        <v>222</v>
      </c>
      <c r="C1" t="s">
        <v>216</v>
      </c>
      <c r="D1" t="s">
        <v>217</v>
      </c>
      <c r="E1" t="s">
        <v>218</v>
      </c>
      <c r="F1" t="s">
        <v>219</v>
      </c>
    </row>
    <row r="2" spans="1:6" x14ac:dyDescent="0.3">
      <c r="A2">
        <v>1962</v>
      </c>
      <c r="B2">
        <f>_xlfn.FLOOR.MATH(Table2[[#This Row],[Year]],10)</f>
        <v>1960</v>
      </c>
      <c r="C2">
        <f>COUNTIFS(Table1[year],Table2[[#This Row],[Year]])</f>
        <v>13</v>
      </c>
      <c r="D2" s="5">
        <f>COUNTIFS(Table1[year],Table2[[#This Row],[Year]],Table1[Wealthier_Winner],1)/Table2[[#This Row],[Count]]</f>
        <v>0.61538461538461542</v>
      </c>
      <c r="E2" s="5">
        <f>COUNTIFS(Table1[year],Table2[[#This Row],[Year]],Table1[Wealthier_Winner],0)/Table2[[#This Row],[Count]]</f>
        <v>7.6923076923076927E-2</v>
      </c>
      <c r="F2" s="5">
        <f>COUNTIFS(Table1[year],Table2[[#This Row],[Year]],Table1[Wealthier_Winner],-1)/Table2[[#This Row],[Count]]</f>
        <v>0.30769230769230771</v>
      </c>
    </row>
    <row r="3" spans="1:6" x14ac:dyDescent="0.3">
      <c r="A3">
        <v>1966</v>
      </c>
      <c r="B3">
        <f>_xlfn.FLOOR.MATH(Table2[[#This Row],[Year]],10)</f>
        <v>1960</v>
      </c>
      <c r="C3">
        <f>COUNTIFS(Table1[year],Table2[[#This Row],[Year]])</f>
        <v>18</v>
      </c>
      <c r="D3" s="5">
        <f>COUNTIFS(Table1[year],Table2[[#This Row],[Year]],Table1[Wealthier_Winner],1)/Table2[[#This Row],[Count]]</f>
        <v>0.5</v>
      </c>
      <c r="E3" s="5">
        <f>COUNTIFS(Table1[year],Table2[[#This Row],[Year]],Table1[Wealthier_Winner],0)/Table2[[#This Row],[Count]]</f>
        <v>0.22222222222222221</v>
      </c>
      <c r="F3" s="5">
        <f>COUNTIFS(Table1[year],Table2[[#This Row],[Year]],Table1[Wealthier_Winner],-1)/Table2[[#This Row],[Count]]</f>
        <v>0.27777777777777779</v>
      </c>
    </row>
    <row r="4" spans="1:6" x14ac:dyDescent="0.3">
      <c r="A4">
        <v>1970</v>
      </c>
      <c r="B4">
        <f>_xlfn.FLOOR.MATH(Table2[[#This Row],[Year]],10)</f>
        <v>1970</v>
      </c>
      <c r="C4">
        <f>COUNTIFS(Table1[year],Table2[[#This Row],[Year]])</f>
        <v>20</v>
      </c>
      <c r="D4" s="5">
        <f>COUNTIFS(Table1[year],Table2[[#This Row],[Year]],Table1[Wealthier_Winner],1)/Table2[[#This Row],[Count]]</f>
        <v>0.65</v>
      </c>
      <c r="E4" s="5">
        <f>COUNTIFS(Table1[year],Table2[[#This Row],[Year]],Table1[Wealthier_Winner],0)/Table2[[#This Row],[Count]]</f>
        <v>0.15</v>
      </c>
      <c r="F4" s="5">
        <f>COUNTIFS(Table1[year],Table2[[#This Row],[Year]],Table1[Wealthier_Winner],-1)/Table2[[#This Row],[Count]]</f>
        <v>0.2</v>
      </c>
    </row>
    <row r="5" spans="1:6" x14ac:dyDescent="0.3">
      <c r="A5">
        <v>1974</v>
      </c>
      <c r="B5">
        <f>_xlfn.FLOOR.MATH(Table2[[#This Row],[Year]],10)</f>
        <v>1970</v>
      </c>
      <c r="C5">
        <f>COUNTIFS(Table1[year],Table2[[#This Row],[Year]])</f>
        <v>14</v>
      </c>
      <c r="D5" s="5">
        <f>COUNTIFS(Table1[year],Table2[[#This Row],[Year]],Table1[Wealthier_Winner],1)/Table2[[#This Row],[Count]]</f>
        <v>0.7142857142857143</v>
      </c>
      <c r="E5" s="5">
        <f>COUNTIFS(Table1[year],Table2[[#This Row],[Year]],Table1[Wealthier_Winner],0)/Table2[[#This Row],[Count]]</f>
        <v>0.21428571428571427</v>
      </c>
      <c r="F5" s="5">
        <f>COUNTIFS(Table1[year],Table2[[#This Row],[Year]],Table1[Wealthier_Winner],-1)/Table2[[#This Row],[Count]]</f>
        <v>7.1428571428571425E-2</v>
      </c>
    </row>
    <row r="6" spans="1:6" x14ac:dyDescent="0.3">
      <c r="A6">
        <v>1978</v>
      </c>
      <c r="B6">
        <f>_xlfn.FLOOR.MATH(Table2[[#This Row],[Year]],10)</f>
        <v>1970</v>
      </c>
      <c r="C6">
        <f>COUNTIFS(Table1[year],Table2[[#This Row],[Year]])</f>
        <v>29</v>
      </c>
      <c r="D6" s="5">
        <f>COUNTIFS(Table1[year],Table2[[#This Row],[Year]],Table1[Wealthier_Winner],1)/Table2[[#This Row],[Count]]</f>
        <v>0.41379310344827586</v>
      </c>
      <c r="E6" s="5">
        <f>COUNTIFS(Table1[year],Table2[[#This Row],[Year]],Table1[Wealthier_Winner],0)/Table2[[#This Row],[Count]]</f>
        <v>0.2413793103448276</v>
      </c>
      <c r="F6" s="5">
        <f>COUNTIFS(Table1[year],Table2[[#This Row],[Year]],Table1[Wealthier_Winner],-1)/Table2[[#This Row],[Count]]</f>
        <v>0.34482758620689657</v>
      </c>
    </row>
    <row r="7" spans="1:6" x14ac:dyDescent="0.3">
      <c r="A7">
        <v>1982</v>
      </c>
      <c r="B7">
        <f>_xlfn.FLOOR.MATH(Table2[[#This Row],[Year]],10)</f>
        <v>1980</v>
      </c>
      <c r="C7">
        <f>COUNTIFS(Table1[year],Table2[[#This Row],[Year]])</f>
        <v>29</v>
      </c>
      <c r="D7" s="5">
        <f>COUNTIFS(Table1[year],Table2[[#This Row],[Year]],Table1[Wealthier_Winner],1)/Table2[[#This Row],[Count]]</f>
        <v>0.62068965517241381</v>
      </c>
      <c r="E7" s="5">
        <f>COUNTIFS(Table1[year],Table2[[#This Row],[Year]],Table1[Wealthier_Winner],0)/Table2[[#This Row],[Count]]</f>
        <v>0.27586206896551724</v>
      </c>
      <c r="F7" s="5">
        <f>COUNTIFS(Table1[year],Table2[[#This Row],[Year]],Table1[Wealthier_Winner],-1)/Table2[[#This Row],[Count]]</f>
        <v>0.10344827586206896</v>
      </c>
    </row>
    <row r="8" spans="1:6" x14ac:dyDescent="0.3">
      <c r="A8">
        <v>1986</v>
      </c>
      <c r="B8">
        <f>_xlfn.FLOOR.MATH(Table2[[#This Row],[Year]],10)</f>
        <v>1980</v>
      </c>
      <c r="C8">
        <f>COUNTIFS(Table1[year],Table2[[#This Row],[Year]])</f>
        <v>35</v>
      </c>
      <c r="D8" s="5">
        <f>COUNTIFS(Table1[year],Table2[[#This Row],[Year]],Table1[Wealthier_Winner],1)/Table2[[#This Row],[Count]]</f>
        <v>0.51428571428571423</v>
      </c>
      <c r="E8" s="5">
        <f>COUNTIFS(Table1[year],Table2[[#This Row],[Year]],Table1[Wealthier_Winner],0)/Table2[[#This Row],[Count]]</f>
        <v>0.25714285714285712</v>
      </c>
      <c r="F8" s="5">
        <f>COUNTIFS(Table1[year],Table2[[#This Row],[Year]],Table1[Wealthier_Winner],-1)/Table2[[#This Row],[Count]]</f>
        <v>0.22857142857142856</v>
      </c>
    </row>
    <row r="9" spans="1:6" x14ac:dyDescent="0.3">
      <c r="A9">
        <v>1990</v>
      </c>
      <c r="B9">
        <f>_xlfn.FLOOR.MATH(Table2[[#This Row],[Year]],10)</f>
        <v>1990</v>
      </c>
      <c r="C9">
        <f>COUNTIFS(Table1[year],Table2[[#This Row],[Year]])</f>
        <v>33</v>
      </c>
      <c r="D9" s="5">
        <f>COUNTIFS(Table1[year],Table2[[#This Row],[Year]],Table1[Wealthier_Winner],1)/Table2[[#This Row],[Count]]</f>
        <v>0.48484848484848486</v>
      </c>
      <c r="E9" s="5">
        <f>COUNTIFS(Table1[year],Table2[[#This Row],[Year]],Table1[Wealthier_Winner],0)/Table2[[#This Row],[Count]]</f>
        <v>0.21212121212121213</v>
      </c>
      <c r="F9" s="5">
        <f>COUNTIFS(Table1[year],Table2[[#This Row],[Year]],Table1[Wealthier_Winner],-1)/Table2[[#This Row],[Count]]</f>
        <v>0.30303030303030304</v>
      </c>
    </row>
    <row r="10" spans="1:6" x14ac:dyDescent="0.3">
      <c r="A10">
        <v>1994</v>
      </c>
      <c r="B10">
        <f>_xlfn.FLOOR.MATH(Table2[[#This Row],[Year]],10)</f>
        <v>1990</v>
      </c>
      <c r="C10">
        <f>COUNTIFS(Table1[year],Table2[[#This Row],[Year]])</f>
        <v>42</v>
      </c>
      <c r="D10" s="5">
        <f>COUNTIFS(Table1[year],Table2[[#This Row],[Year]],Table1[Wealthier_Winner],1)/Table2[[#This Row],[Count]]</f>
        <v>0.52380952380952384</v>
      </c>
      <c r="E10" s="5">
        <f>COUNTIFS(Table1[year],Table2[[#This Row],[Year]],Table1[Wealthier_Winner],0)/Table2[[#This Row],[Count]]</f>
        <v>0.19047619047619047</v>
      </c>
      <c r="F10" s="5">
        <f>COUNTIFS(Table1[year],Table2[[#This Row],[Year]],Table1[Wealthier_Winner],-1)/Table2[[#This Row],[Count]]</f>
        <v>0.2857142857142857</v>
      </c>
    </row>
    <row r="11" spans="1:6" x14ac:dyDescent="0.3">
      <c r="A11">
        <v>1998</v>
      </c>
      <c r="B11">
        <f>_xlfn.FLOOR.MATH(Table2[[#This Row],[Year]],10)</f>
        <v>1990</v>
      </c>
      <c r="C11">
        <f>COUNTIFS(Table1[year],Table2[[#This Row],[Year]])</f>
        <v>58</v>
      </c>
      <c r="D11" s="5">
        <f>COUNTIFS(Table1[year],Table2[[#This Row],[Year]],Table1[Wealthier_Winner],1)/Table2[[#This Row],[Count]]</f>
        <v>0.43103448275862066</v>
      </c>
      <c r="E11" s="5">
        <f>COUNTIFS(Table1[year],Table2[[#This Row],[Year]],Table1[Wealthier_Winner],0)/Table2[[#This Row],[Count]]</f>
        <v>0.29310344827586204</v>
      </c>
      <c r="F11" s="5">
        <f>COUNTIFS(Table1[year],Table2[[#This Row],[Year]],Table1[Wealthier_Winner],-1)/Table2[[#This Row],[Count]]</f>
        <v>0.27586206896551724</v>
      </c>
    </row>
    <row r="12" spans="1:6" x14ac:dyDescent="0.3">
      <c r="A12">
        <v>2002</v>
      </c>
      <c r="B12">
        <f>_xlfn.FLOOR.MATH(Table2[[#This Row],[Year]],10)</f>
        <v>2000</v>
      </c>
      <c r="C12">
        <f>COUNTIFS(Table1[year],Table2[[#This Row],[Year]])</f>
        <v>44</v>
      </c>
      <c r="D12" s="5">
        <f>COUNTIFS(Table1[year],Table2[[#This Row],[Year]],Table1[Wealthier_Winner],1)/Table2[[#This Row],[Count]]</f>
        <v>0.47727272727272729</v>
      </c>
      <c r="E12" s="5">
        <f>COUNTIFS(Table1[year],Table2[[#This Row],[Year]],Table1[Wealthier_Winner],0)/Table2[[#This Row],[Count]]</f>
        <v>0.22727272727272727</v>
      </c>
      <c r="F12" s="5">
        <f>COUNTIFS(Table1[year],Table2[[#This Row],[Year]],Table1[Wealthier_Winner],-1)/Table2[[#This Row],[Count]]</f>
        <v>0.29545454545454547</v>
      </c>
    </row>
    <row r="13" spans="1:6" x14ac:dyDescent="0.3">
      <c r="A13">
        <v>2006</v>
      </c>
      <c r="B13">
        <f>_xlfn.FLOOR.MATH(Table2[[#This Row],[Year]],10)</f>
        <v>2000</v>
      </c>
      <c r="C13">
        <f>COUNTIFS(Table1[year],Table2[[#This Row],[Year]])</f>
        <v>58</v>
      </c>
      <c r="D13" s="5">
        <f>COUNTIFS(Table1[year],Table2[[#This Row],[Year]],Table1[Wealthier_Winner],1)/Table2[[#This Row],[Count]]</f>
        <v>0.53448275862068961</v>
      </c>
      <c r="E13" s="5">
        <f>COUNTIFS(Table1[year],Table2[[#This Row],[Year]],Table1[Wealthier_Winner],0)/Table2[[#This Row],[Count]]</f>
        <v>0.2413793103448276</v>
      </c>
      <c r="F13" s="5">
        <f>COUNTIFS(Table1[year],Table2[[#This Row],[Year]],Table1[Wealthier_Winner],-1)/Table2[[#This Row],[Count]]</f>
        <v>0.22413793103448276</v>
      </c>
    </row>
    <row r="14" spans="1:6" x14ac:dyDescent="0.3">
      <c r="A14">
        <v>2010</v>
      </c>
      <c r="B14">
        <f>_xlfn.FLOOR.MATH(Table2[[#This Row],[Year]],10)</f>
        <v>2010</v>
      </c>
      <c r="C14">
        <f>COUNTIFS(Table1[year],Table2[[#This Row],[Year]])</f>
        <v>51</v>
      </c>
      <c r="D14" s="5">
        <f>COUNTIFS(Table1[year],Table2[[#This Row],[Year]],Table1[Wealthier_Winner],1)/Table2[[#This Row],[Count]]</f>
        <v>0.45098039215686275</v>
      </c>
      <c r="E14" s="5">
        <f>COUNTIFS(Table1[year],Table2[[#This Row],[Year]],Table1[Wealthier_Winner],0)/Table2[[#This Row],[Count]]</f>
        <v>0.25490196078431371</v>
      </c>
      <c r="F14" s="5">
        <f>COUNTIFS(Table1[year],Table2[[#This Row],[Year]],Table1[Wealthier_Winner],-1)/Table2[[#This Row],[Count]]</f>
        <v>0.29411764705882354</v>
      </c>
    </row>
    <row r="15" spans="1:6" x14ac:dyDescent="0.3">
      <c r="A15">
        <v>2014</v>
      </c>
      <c r="B15">
        <f>_xlfn.FLOOR.MATH(Table2[[#This Row],[Year]],10)</f>
        <v>2010</v>
      </c>
      <c r="C15">
        <f>COUNTIFS(Table1[year],Table2[[#This Row],[Year]])</f>
        <v>56</v>
      </c>
      <c r="D15" s="5">
        <f>COUNTIFS(Table1[year],Table2[[#This Row],[Year]],Table1[Wealthier_Winner],1)/Table2[[#This Row],[Count]]</f>
        <v>0.4642857142857143</v>
      </c>
      <c r="E15" s="5">
        <f>COUNTIFS(Table1[year],Table2[[#This Row],[Year]],Table1[Wealthier_Winner],0)/Table2[[#This Row],[Count]]</f>
        <v>0.19642857142857142</v>
      </c>
      <c r="F15" s="5">
        <f>COUNTIFS(Table1[year],Table2[[#This Row],[Year]],Table1[Wealthier_Winner],-1)/Table2[[#This Row],[Count]]</f>
        <v>0.3392857142857143</v>
      </c>
    </row>
    <row r="16" spans="1:6" x14ac:dyDescent="0.3">
      <c r="A16">
        <v>2018</v>
      </c>
      <c r="B16">
        <f>_xlfn.FLOOR.MATH(Table2[[#This Row],[Year]],10)</f>
        <v>2010</v>
      </c>
      <c r="C16">
        <f>COUNTIFS(Table1[year],Table2[[#This Row],[Year]])</f>
        <v>56</v>
      </c>
      <c r="D16" s="5">
        <f>COUNTIFS(Table1[year],Table2[[#This Row],[Year]],Table1[Wealthier_Winner],1)/Table2[[#This Row],[Count]]</f>
        <v>0.4642857142857143</v>
      </c>
      <c r="E16" s="5">
        <f>COUNTIFS(Table1[year],Table2[[#This Row],[Year]],Table1[Wealthier_Winner],0)/Table2[[#This Row],[Count]]</f>
        <v>0.19642857142857142</v>
      </c>
      <c r="F16" s="5">
        <f>COUNTIFS(Table1[year],Table2[[#This Row],[Year]],Table1[Wealthier_Winner],-1)/Table2[[#This Row],[Count]]</f>
        <v>0.3392857142857143</v>
      </c>
    </row>
    <row r="17" spans="1:6" x14ac:dyDescent="0.3">
      <c r="A17">
        <v>2022</v>
      </c>
      <c r="B17">
        <f>_xlfn.FLOOR.MATH(Table2[[#This Row],[Year]],10)</f>
        <v>2020</v>
      </c>
      <c r="C17">
        <f>COUNTIFS(Table1[year],Table2[[#This Row],[Year]])</f>
        <v>57</v>
      </c>
      <c r="D17" s="5">
        <f>COUNTIFS(Table1[year],Table2[[#This Row],[Year]],Table1[Wealthier_Winner],1)/Table2[[#This Row],[Count]]</f>
        <v>0.42105263157894735</v>
      </c>
      <c r="E17" s="5">
        <f>COUNTIFS(Table1[year],Table2[[#This Row],[Year]],Table1[Wealthier_Winner],0)/Table2[[#This Row],[Count]]</f>
        <v>0.22807017543859648</v>
      </c>
      <c r="F17" s="5">
        <f>COUNTIFS(Table1[year],Table2[[#This Row],[Year]],Table1[Wealthier_Winner],-1)/Table2[[#This Row],[Count]]</f>
        <v>0.35087719298245612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F0AEA-49A0-41CD-8083-BA1D7227DC7D}">
  <dimension ref="A1:B11"/>
  <sheetViews>
    <sheetView workbookViewId="0">
      <selection activeCell="B5" sqref="B5"/>
    </sheetView>
  </sheetViews>
  <sheetFormatPr defaultRowHeight="14.4" x14ac:dyDescent="0.3"/>
  <cols>
    <col min="1" max="1" width="12.5546875" bestFit="1" customWidth="1"/>
    <col min="2" max="2" width="26.21875" bestFit="1" customWidth="1"/>
    <col min="3" max="3" width="13.6640625" bestFit="1" customWidth="1"/>
  </cols>
  <sheetData>
    <row r="1" spans="1:2" x14ac:dyDescent="0.3">
      <c r="A1" s="3" t="s">
        <v>1</v>
      </c>
      <c r="B1" t="s">
        <v>233</v>
      </c>
    </row>
    <row r="3" spans="1:2" x14ac:dyDescent="0.3">
      <c r="A3" s="3" t="s">
        <v>212</v>
      </c>
      <c r="B3" t="s">
        <v>211</v>
      </c>
    </row>
    <row r="4" spans="1:2" x14ac:dyDescent="0.3">
      <c r="A4" s="4">
        <v>1960</v>
      </c>
      <c r="B4" s="8">
        <v>0.25806451612903225</v>
      </c>
    </row>
    <row r="5" spans="1:2" x14ac:dyDescent="0.3">
      <c r="A5" s="4">
        <v>1970</v>
      </c>
      <c r="B5" s="8">
        <v>0.31746031746031744</v>
      </c>
    </row>
    <row r="6" spans="1:2" x14ac:dyDescent="0.3">
      <c r="A6" s="4">
        <v>1980</v>
      </c>
      <c r="B6" s="8">
        <v>0.390625</v>
      </c>
    </row>
    <row r="7" spans="1:2" x14ac:dyDescent="0.3">
      <c r="A7" s="4">
        <v>1990</v>
      </c>
      <c r="B7" s="8">
        <v>0.18796992481203006</v>
      </c>
    </row>
    <row r="8" spans="1:2" x14ac:dyDescent="0.3">
      <c r="A8" s="4">
        <v>2000</v>
      </c>
      <c r="B8" s="8">
        <v>0.25490196078431371</v>
      </c>
    </row>
    <row r="9" spans="1:2" x14ac:dyDescent="0.3">
      <c r="A9" s="4">
        <v>2010</v>
      </c>
      <c r="B9" s="8">
        <v>0.13496932515337423</v>
      </c>
    </row>
    <row r="10" spans="1:2" x14ac:dyDescent="0.3">
      <c r="A10" s="4">
        <v>2020</v>
      </c>
      <c r="B10" s="8">
        <v>7.0175438596491224E-2</v>
      </c>
    </row>
    <row r="11" spans="1:2" x14ac:dyDescent="0.3">
      <c r="A11" s="4" t="s">
        <v>213</v>
      </c>
      <c r="B11" s="8">
        <v>0.21207177814029363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EC690-5155-45F0-BFF2-218CBE2366D4}">
  <dimension ref="A3:C11"/>
  <sheetViews>
    <sheetView workbookViewId="0">
      <selection activeCell="K24" sqref="K24"/>
    </sheetView>
  </sheetViews>
  <sheetFormatPr defaultRowHeight="14.4" x14ac:dyDescent="0.3"/>
  <cols>
    <col min="1" max="1" width="12.5546875" bestFit="1" customWidth="1"/>
    <col min="2" max="2" width="31" bestFit="1" customWidth="1"/>
    <col min="3" max="3" width="31.44140625" bestFit="1" customWidth="1"/>
    <col min="4" max="4" width="11.109375" bestFit="1" customWidth="1"/>
  </cols>
  <sheetData>
    <row r="3" spans="1:3" x14ac:dyDescent="0.3">
      <c r="A3" s="3" t="s">
        <v>212</v>
      </c>
      <c r="B3" t="s">
        <v>223</v>
      </c>
      <c r="C3" t="s">
        <v>232</v>
      </c>
    </row>
    <row r="4" spans="1:3" x14ac:dyDescent="0.3">
      <c r="A4" s="6">
        <v>1960</v>
      </c>
      <c r="B4" s="7">
        <v>0.55769230769230771</v>
      </c>
      <c r="C4" s="7">
        <v>0.29273504273504275</v>
      </c>
    </row>
    <row r="5" spans="1:3" x14ac:dyDescent="0.3">
      <c r="A5" s="6">
        <v>1970</v>
      </c>
      <c r="B5" s="7">
        <v>0.59269293924466337</v>
      </c>
      <c r="C5" s="7">
        <v>0.20541871921182267</v>
      </c>
    </row>
    <row r="6" spans="1:3" x14ac:dyDescent="0.3">
      <c r="A6" s="6">
        <v>1980</v>
      </c>
      <c r="B6" s="7">
        <v>0.56748768472906397</v>
      </c>
      <c r="C6" s="7">
        <v>0.16600985221674877</v>
      </c>
    </row>
    <row r="7" spans="1:3" x14ac:dyDescent="0.3">
      <c r="A7" s="6">
        <v>1990</v>
      </c>
      <c r="B7" s="7">
        <v>0.47989749713887636</v>
      </c>
      <c r="C7" s="7">
        <v>0.28820221923670203</v>
      </c>
    </row>
    <row r="8" spans="1:3" x14ac:dyDescent="0.3">
      <c r="A8" s="6">
        <v>2000</v>
      </c>
      <c r="B8" s="7">
        <v>0.50587774294670851</v>
      </c>
      <c r="C8" s="7">
        <v>0.25979623824451414</v>
      </c>
    </row>
    <row r="9" spans="1:3" x14ac:dyDescent="0.3">
      <c r="A9" s="6">
        <v>2010</v>
      </c>
      <c r="B9" s="7">
        <v>0.45985060690943041</v>
      </c>
      <c r="C9" s="7">
        <v>0.32422969187675071</v>
      </c>
    </row>
    <row r="10" spans="1:3" x14ac:dyDescent="0.3">
      <c r="A10" s="6">
        <v>2020</v>
      </c>
      <c r="B10" s="7">
        <v>0.42105263157894735</v>
      </c>
      <c r="C10" s="7">
        <v>0.35087719298245612</v>
      </c>
    </row>
    <row r="11" spans="1:3" x14ac:dyDescent="0.3">
      <c r="A11" s="6" t="s">
        <v>213</v>
      </c>
      <c r="B11" s="7">
        <v>0.51753070201212614</v>
      </c>
      <c r="C11" s="7">
        <v>0.26509445939693083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F2A47-CFB6-426E-8F2E-2BF6F33B8CD4}">
  <dimension ref="A3:D11"/>
  <sheetViews>
    <sheetView tabSelected="1" topLeftCell="A7" workbookViewId="0">
      <selection activeCell="H17" sqref="H17"/>
    </sheetView>
  </sheetViews>
  <sheetFormatPr defaultRowHeight="14.4" x14ac:dyDescent="0.3"/>
  <cols>
    <col min="1" max="1" width="12.5546875" bestFit="1" customWidth="1"/>
    <col min="2" max="2" width="31" bestFit="1" customWidth="1"/>
    <col min="3" max="3" width="30.109375" bestFit="1" customWidth="1"/>
    <col min="4" max="4" width="31.44140625" bestFit="1" customWidth="1"/>
  </cols>
  <sheetData>
    <row r="3" spans="1:4" x14ac:dyDescent="0.3">
      <c r="A3" s="3" t="s">
        <v>212</v>
      </c>
      <c r="B3" t="s">
        <v>223</v>
      </c>
      <c r="C3" t="s">
        <v>234</v>
      </c>
      <c r="D3" t="s">
        <v>232</v>
      </c>
    </row>
    <row r="4" spans="1:4" x14ac:dyDescent="0.3">
      <c r="A4" s="6">
        <v>1960</v>
      </c>
      <c r="B4" s="7">
        <v>0.55769230769230771</v>
      </c>
      <c r="C4" s="7">
        <v>0.14957264957264957</v>
      </c>
      <c r="D4" s="7">
        <v>0.29273504273504275</v>
      </c>
    </row>
    <row r="5" spans="1:4" x14ac:dyDescent="0.3">
      <c r="A5" s="6">
        <v>1970</v>
      </c>
      <c r="B5" s="7">
        <v>0.59269293924466337</v>
      </c>
      <c r="C5" s="7">
        <v>0.20188834154351396</v>
      </c>
      <c r="D5" s="7">
        <v>0.20541871921182267</v>
      </c>
    </row>
    <row r="6" spans="1:4" x14ac:dyDescent="0.3">
      <c r="A6" s="6">
        <v>1980</v>
      </c>
      <c r="B6" s="7">
        <v>0.56748768472906397</v>
      </c>
      <c r="C6" s="7">
        <v>0.26650246305418718</v>
      </c>
      <c r="D6" s="7">
        <v>0.16600985221674877</v>
      </c>
    </row>
    <row r="7" spans="1:4" x14ac:dyDescent="0.3">
      <c r="A7" s="6">
        <v>1990</v>
      </c>
      <c r="B7" s="7">
        <v>0.47989749713887636</v>
      </c>
      <c r="C7" s="7">
        <v>0.23190028362442158</v>
      </c>
      <c r="D7" s="7">
        <v>0.28820221923670203</v>
      </c>
    </row>
    <row r="8" spans="1:4" x14ac:dyDescent="0.3">
      <c r="A8" s="6">
        <v>2000</v>
      </c>
      <c r="B8" s="7">
        <v>0.50587774294670851</v>
      </c>
      <c r="C8" s="7">
        <v>0.23432601880877743</v>
      </c>
      <c r="D8" s="7">
        <v>0.25979623824451414</v>
      </c>
    </row>
    <row r="9" spans="1:4" x14ac:dyDescent="0.3">
      <c r="A9" s="6">
        <v>2010</v>
      </c>
      <c r="B9" s="7">
        <v>0.45985060690943041</v>
      </c>
      <c r="C9" s="7">
        <v>0.21591970121381884</v>
      </c>
      <c r="D9" s="7">
        <v>0.32422969187675071</v>
      </c>
    </row>
    <row r="10" spans="1:4" x14ac:dyDescent="0.3">
      <c r="A10" s="6">
        <v>2020</v>
      </c>
      <c r="B10" s="7">
        <v>0.42105263157894735</v>
      </c>
      <c r="C10" s="7">
        <v>0.22807017543859648</v>
      </c>
      <c r="D10" s="7">
        <v>0.35087719298245612</v>
      </c>
    </row>
    <row r="11" spans="1:4" x14ac:dyDescent="0.3">
      <c r="A11" s="6" t="s">
        <v>213</v>
      </c>
      <c r="B11" s="7">
        <v>0.51753070201212614</v>
      </c>
      <c r="C11" s="7">
        <v>0.21737483859094298</v>
      </c>
      <c r="D11" s="7">
        <v>0.26509445939693083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5C2-C7D4-4196-B20A-1D2CFEE97DBF}">
  <dimension ref="A1:A2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220</v>
      </c>
    </row>
    <row r="2" spans="1:1" x14ac:dyDescent="0.3">
      <c r="A2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Summary</vt:lpstr>
      <vt:lpstr>Sheet2</vt:lpstr>
      <vt:lpstr>Sheet4</vt:lpstr>
      <vt:lpstr>Sheet4 (2)</vt:lpstr>
      <vt:lpstr>Works Cited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CJ  Conti</cp:lastModifiedBy>
  <dcterms:created xsi:type="dcterms:W3CDTF">2026-06-05T17:36:36Z</dcterms:created>
  <dcterms:modified xsi:type="dcterms:W3CDTF">2026-06-05T18:38:23Z</dcterms:modified>
</cp:coreProperties>
</file>